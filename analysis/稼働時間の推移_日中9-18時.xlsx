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条件" sheetId="1" state="visible" r:id="rId3"/>
    <sheet name="日ごとの稼働時間" sheetId="2" state="visible" r:id="rId4"/>
    <sheet name="研究に使える時間" sheetId="3" state="visible" r:id="rId5"/>
    <sheet name="期間別のまとめ" sheetId="4" state="visible" r:id="rId6"/>
    <sheet name="グラフ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<sst xmlns="http://schemas.openxmlformats.org/spreadsheetml/2006/main" count="532" uniqueCount="154">
  <si>
    <r>
      <rPr>
        <b val="true"/>
        <sz val="10"/>
        <color rgb="FF172033"/>
        <rFont val="WenQuanYi Zen Hei"/>
        <family val="2"/>
      </rPr>
      <t xml:space="preserve">日中（</t>
    </r>
    <r>
      <rPr>
        <b val="true"/>
        <sz val="10"/>
        <color rgb="FF172033"/>
        <rFont val="游ゴシック"/>
        <family val="0"/>
        <charset val="1"/>
      </rPr>
      <t xml:space="preserve">9:00</t>
    </r>
    <r>
      <rPr>
        <b val="true"/>
        <sz val="10"/>
        <color rgb="FF172033"/>
        <rFont val="WenQuanYi Zen Hei"/>
        <family val="2"/>
      </rPr>
      <t xml:space="preserve">〜</t>
    </r>
    <r>
      <rPr>
        <b val="true"/>
        <sz val="10"/>
        <color rgb="FF172033"/>
        <rFont val="游ゴシック"/>
        <family val="0"/>
        <charset val="1"/>
      </rPr>
      <t xml:space="preserve">18:00</t>
    </r>
    <r>
      <rPr>
        <b val="true"/>
        <sz val="10"/>
        <color rgb="FF172033"/>
        <rFont val="WenQuanYi Zen Hei"/>
        <family val="2"/>
      </rPr>
      <t xml:space="preserve">）の室外機の稼働時間</t>
    </r>
  </si>
  <si>
    <r>
      <rPr>
        <sz val="9"/>
        <color rgb="FF5E6B7A"/>
        <rFont val="WenQuanYi Zen Hei"/>
        <family val="2"/>
      </rPr>
      <t xml:space="preserve">運転の判定（</t>
    </r>
    <r>
      <rPr>
        <sz val="9"/>
        <color rgb="FF5E6B7A"/>
        <rFont val="游ゴシック"/>
        <family val="0"/>
        <charset val="1"/>
      </rPr>
      <t xml:space="preserve">tools/operation_judge.py </t>
    </r>
    <r>
      <rPr>
        <sz val="9"/>
        <color rgb="FF5E6B7A"/>
        <rFont val="WenQuanYi Zen Hei"/>
        <family val="2"/>
      </rPr>
      <t xml:space="preserve">と同じ。</t>
    </r>
    <r>
      <rPr>
        <sz val="9"/>
        <color rgb="FF5E6B7A"/>
        <rFont val="游ゴシック"/>
        <family val="0"/>
        <charset val="1"/>
      </rPr>
      <t xml:space="preserve">push</t>
    </r>
    <r>
      <rPr>
        <sz val="9"/>
        <color rgb="FF5E6B7A"/>
        <rFont val="WenQuanYi Zen Hei"/>
        <family val="2"/>
      </rPr>
      <t xml:space="preserve">済みの「稼働状況の判定」と</t>
    </r>
    <r>
      <rPr>
        <sz val="9"/>
        <color rgb="FF5E6B7A"/>
        <rFont val="游ゴシック"/>
        <family val="0"/>
        <charset val="1"/>
      </rPr>
      <t xml:space="preserve">1</t>
    </r>
    <r>
      <rPr>
        <sz val="9"/>
        <color rgb="FF5E6B7A"/>
        <rFont val="WenQuanYi Zen Hei"/>
        <family val="2"/>
      </rPr>
      <t xml:space="preserve">時間ごとの判定が一致することを確認済み）</t>
    </r>
  </si>
  <si>
    <r>
      <rPr>
        <sz val="9"/>
        <color rgb="FF172033"/>
        <rFont val="游ゴシック"/>
        <family val="0"/>
        <charset val="1"/>
      </rPr>
      <t xml:space="preserve">① 1</t>
    </r>
    <r>
      <rPr>
        <sz val="9"/>
        <color rgb="FF172033"/>
        <rFont val="WenQuanYi Zen Hei"/>
        <family val="2"/>
      </rPr>
      <t xml:space="preserve">分ごと：排気温度 − 吸気温度（</t>
    </r>
    <r>
      <rPr>
        <sz val="9"/>
        <color rgb="FF172033"/>
        <rFont val="游ゴシック"/>
        <family val="0"/>
        <charset val="1"/>
      </rPr>
      <t xml:space="preserve">3</t>
    </r>
    <r>
      <rPr>
        <sz val="9"/>
        <color rgb="FF172033"/>
        <rFont val="WenQuanYi Zen Hei"/>
        <family val="2"/>
      </rPr>
      <t xml:space="preserve">方位の平均）の</t>
    </r>
    <r>
      <rPr>
        <sz val="9"/>
        <color rgb="FF172033"/>
        <rFont val="游ゴシック"/>
        <family val="0"/>
        <charset val="1"/>
      </rPr>
      <t xml:space="preserve">10</t>
    </r>
    <r>
      <rPr>
        <sz val="9"/>
        <color rgb="FF172033"/>
        <rFont val="WenQuanYi Zen Hei"/>
        <family val="2"/>
      </rPr>
      <t xml:space="preserve">分移動中央値が</t>
    </r>
    <r>
      <rPr>
        <sz val="9"/>
        <color rgb="FF172033"/>
        <rFont val="游ゴシック"/>
        <family val="0"/>
        <charset val="1"/>
      </rPr>
      <t xml:space="preserve">1.0℃</t>
    </r>
    <r>
      <rPr>
        <sz val="9"/>
        <color rgb="FF172033"/>
        <rFont val="WenQuanYi Zen Hei"/>
        <family val="2"/>
      </rPr>
      <t xml:space="preserve">以上なら「運転中」</t>
    </r>
  </si>
  <si>
    <r>
      <rPr>
        <sz val="9"/>
        <color rgb="FF172033"/>
        <rFont val="游ゴシック"/>
        <family val="0"/>
        <charset val="1"/>
      </rPr>
      <t xml:space="preserve">② 1</t>
    </r>
    <r>
      <rPr>
        <sz val="9"/>
        <color rgb="FF172033"/>
        <rFont val="WenQuanYi Zen Hei"/>
        <family val="2"/>
      </rPr>
      <t xml:space="preserve">時間ごと：判定できた分が</t>
    </r>
    <r>
      <rPr>
        <sz val="9"/>
        <color rgb="FF172033"/>
        <rFont val="游ゴシック"/>
        <family val="0"/>
        <charset val="1"/>
      </rPr>
      <t xml:space="preserve">48</t>
    </r>
    <r>
      <rPr>
        <sz val="9"/>
        <color rgb="FF172033"/>
        <rFont val="WenQuanYi Zen Hei"/>
        <family val="2"/>
      </rPr>
      <t xml:space="preserve">分以上あり、そのうち</t>
    </r>
    <r>
      <rPr>
        <sz val="9"/>
        <color rgb="FF172033"/>
        <rFont val="游ゴシック"/>
        <family val="0"/>
        <charset val="1"/>
      </rPr>
      <t xml:space="preserve">80</t>
    </r>
    <r>
      <rPr>
        <sz val="9"/>
        <color rgb="FF172033"/>
        <rFont val="WenQuanYi Zen Hei"/>
        <family val="2"/>
      </rPr>
      <t xml:space="preserve">％以上が運転中なら「運転」（断続・停止・判定不能は数えない）</t>
    </r>
  </si>
  <si>
    <r>
      <rPr>
        <sz val="9"/>
        <color rgb="FF172033"/>
        <rFont val="WenQuanYi Zen Hei"/>
        <family val="2"/>
      </rPr>
      <t xml:space="preserve">③ 日ごと：</t>
    </r>
    <r>
      <rPr>
        <sz val="9"/>
        <color rgb="FF172033"/>
        <rFont val="游ゴシック"/>
        <family val="0"/>
        <charset val="1"/>
      </rPr>
      <t xml:space="preserve">9</t>
    </r>
    <r>
      <rPr>
        <sz val="9"/>
        <color rgb="FF172033"/>
        <rFont val="WenQuanYi Zen Hei"/>
        <family val="2"/>
      </rPr>
      <t xml:space="preserve">〜</t>
    </r>
    <r>
      <rPr>
        <sz val="9"/>
        <color rgb="FF172033"/>
        <rFont val="游ゴシック"/>
        <family val="0"/>
        <charset val="1"/>
      </rPr>
      <t xml:space="preserve">17</t>
    </r>
    <r>
      <rPr>
        <sz val="9"/>
        <color rgb="FF172033"/>
        <rFont val="WenQuanYi Zen Hei"/>
        <family val="2"/>
      </rPr>
      <t xml:space="preserve">時台の</t>
    </r>
    <r>
      <rPr>
        <sz val="9"/>
        <color rgb="FF172033"/>
        <rFont val="游ゴシック"/>
        <family val="0"/>
        <charset val="1"/>
      </rPr>
      <t xml:space="preserve">9</t>
    </r>
    <r>
      <rPr>
        <sz val="9"/>
        <color rgb="FF172033"/>
        <rFont val="WenQuanYi Zen Hei"/>
        <family val="2"/>
      </rPr>
      <t xml:space="preserve">時間のうち「運転」の時間を数える。判定できた時間が</t>
    </r>
    <r>
      <rPr>
        <sz val="9"/>
        <color rgb="FF172033"/>
        <rFont val="游ゴシック"/>
        <family val="0"/>
        <charset val="1"/>
      </rPr>
      <t xml:space="preserve">7</t>
    </r>
    <r>
      <rPr>
        <sz val="9"/>
        <color rgb="FF172033"/>
        <rFont val="WenQuanYi Zen Hei"/>
        <family val="2"/>
      </rPr>
      <t xml:space="preserve">時間未満の日は空欄</t>
    </r>
  </si>
  <si>
    <r>
      <rPr>
        <sz val="9"/>
        <color rgb="FF172033"/>
        <rFont val="WenQuanYi Zen Hei"/>
        <family val="2"/>
      </rPr>
      <t xml:space="preserve">④ 列の値：</t>
    </r>
    <r>
      <rPr>
        <sz val="9"/>
        <color rgb="FF172033"/>
        <rFont val="游ゴシック"/>
        <family val="0"/>
        <charset val="1"/>
      </rPr>
      <t xml:space="preserve">3</t>
    </r>
    <r>
      <rPr>
        <sz val="9"/>
        <color rgb="FF172033"/>
        <rFont val="WenQuanYi Zen Hei"/>
        <family val="2"/>
      </rPr>
      <t xml:space="preserve">台の平均（その日に値がある室外機だけで平均）</t>
    </r>
  </si>
  <si>
    <r>
      <rPr>
        <sz val="9"/>
        <color rgb="FF172033"/>
        <rFont val="WenQuanYi Zen Hei"/>
        <family val="2"/>
      </rPr>
      <t xml:space="preserve">⑤ 研究に使える時間：平日に、組（芋緑化ありの室外機と同じ区画の列</t>
    </r>
    <r>
      <rPr>
        <sz val="9"/>
        <color rgb="FF172033"/>
        <rFont val="游ゴシック"/>
        <family val="0"/>
        <charset val="1"/>
      </rPr>
      <t xml:space="preserve">3</t>
    </r>
    <r>
      <rPr>
        <sz val="9"/>
        <color rgb="FF172033"/>
        <rFont val="WenQuanYi Zen Hei"/>
        <family val="2"/>
      </rPr>
      <t xml:space="preserve">）の</t>
    </r>
    <r>
      <rPr>
        <sz val="9"/>
        <color rgb="FF172033"/>
        <rFont val="游ゴシック"/>
        <family val="0"/>
        <charset val="1"/>
      </rPr>
      <t xml:space="preserve">2</t>
    </r>
    <r>
      <rPr>
        <sz val="9"/>
        <color rgb="FF172033"/>
        <rFont val="WenQuanYi Zen Hei"/>
        <family val="2"/>
      </rPr>
      <t xml:space="preserve">台がともに「運転」の時間。土日祝は空欄</t>
    </r>
  </si>
  <si>
    <r>
      <rPr>
        <sz val="9"/>
        <color rgb="FF5E6B7A"/>
        <rFont val="WenQuanYi Zen Hei"/>
        <family val="2"/>
      </rPr>
      <t xml:space="preserve">空欄の主な理由：</t>
    </r>
    <r>
      <rPr>
        <sz val="9"/>
        <color rgb="FF5E6B7A"/>
        <rFont val="游ゴシック"/>
        <family val="0"/>
        <charset val="1"/>
      </rPr>
      <t xml:space="preserve">8-2</t>
    </r>
    <r>
      <rPr>
        <sz val="9"/>
        <color rgb="FF5E6B7A"/>
        <rFont val="WenQuanYi Zen Hei"/>
        <family val="2"/>
      </rPr>
      <t xml:space="preserve">の排気温度の欠測（</t>
    </r>
    <r>
      <rPr>
        <sz val="9"/>
        <color rgb="FF5E6B7A"/>
        <rFont val="游ゴシック"/>
        <family val="0"/>
        <charset val="1"/>
      </rPr>
      <t xml:space="preserve">8/14</t>
    </r>
    <r>
      <rPr>
        <sz val="9"/>
        <color rgb="FF5E6B7A"/>
        <rFont val="WenQuanYi Zen Hei"/>
        <family val="2"/>
      </rPr>
      <t xml:space="preserve">〜</t>
    </r>
    <r>
      <rPr>
        <sz val="9"/>
        <color rgb="FF5E6B7A"/>
        <rFont val="游ゴシック"/>
        <family val="0"/>
        <charset val="1"/>
      </rPr>
      <t xml:space="preserve">8/28</t>
    </r>
    <r>
      <rPr>
        <sz val="9"/>
        <color rgb="FF5E6B7A"/>
        <rFont val="WenQuanYi Zen Hei"/>
        <family val="2"/>
      </rPr>
      <t xml:space="preserve">）、</t>
    </r>
    <r>
      <rPr>
        <sz val="9"/>
        <color rgb="FF5E6B7A"/>
        <rFont val="游ゴシック"/>
        <family val="0"/>
        <charset val="1"/>
      </rPr>
      <t xml:space="preserve">3-2</t>
    </r>
    <r>
      <rPr>
        <sz val="9"/>
        <color rgb="FF5E6B7A"/>
        <rFont val="WenQuanYi Zen Hei"/>
        <family val="2"/>
      </rPr>
      <t xml:space="preserve">の排気温度の欠測（</t>
    </r>
    <r>
      <rPr>
        <sz val="9"/>
        <color rgb="FF5E6B7A"/>
        <rFont val="游ゴシック"/>
        <family val="0"/>
        <charset val="1"/>
      </rPr>
      <t xml:space="preserve">8/30</t>
    </r>
    <r>
      <rPr>
        <sz val="9"/>
        <color rgb="FF5E6B7A"/>
        <rFont val="WenQuanYi Zen Hei"/>
        <family val="2"/>
      </rPr>
      <t xml:space="preserve">〜</t>
    </r>
    <r>
      <rPr>
        <sz val="9"/>
        <color rgb="FF5E6B7A"/>
        <rFont val="游ゴシック"/>
        <family val="0"/>
        <charset val="1"/>
      </rPr>
      <t xml:space="preserve">9/7</t>
    </r>
    <r>
      <rPr>
        <sz val="9"/>
        <color rgb="FF5E6B7A"/>
        <rFont val="WenQuanYi Zen Hei"/>
        <family val="2"/>
      </rPr>
      <t xml:space="preserve">、</t>
    </r>
    <r>
      <rPr>
        <sz val="9"/>
        <color rgb="FF5E6B7A"/>
        <rFont val="游ゴシック"/>
        <family val="0"/>
        <charset val="1"/>
      </rPr>
      <t xml:space="preserve">9/14</t>
    </r>
    <r>
      <rPr>
        <sz val="9"/>
        <color rgb="FF5E6B7A"/>
        <rFont val="WenQuanYi Zen Hei"/>
        <family val="2"/>
      </rPr>
      <t xml:space="preserve">〜</t>
    </r>
    <r>
      <rPr>
        <sz val="9"/>
        <color rgb="FF5E6B7A"/>
        <rFont val="游ゴシック"/>
        <family val="0"/>
        <charset val="1"/>
      </rPr>
      <t xml:space="preserve">9/22</t>
    </r>
    <r>
      <rPr>
        <sz val="9"/>
        <color rgb="FF5E6B7A"/>
        <rFont val="WenQuanYi Zen Hei"/>
        <family val="2"/>
      </rPr>
      <t xml:space="preserve">ごろ）、列</t>
    </r>
    <r>
      <rPr>
        <sz val="9"/>
        <color rgb="FF5E6B7A"/>
        <rFont val="游ゴシック"/>
        <family val="0"/>
        <charset val="1"/>
      </rPr>
      <t xml:space="preserve">11</t>
    </r>
    <r>
      <rPr>
        <sz val="9"/>
        <color rgb="FF5E6B7A"/>
        <rFont val="WenQuanYi Zen Hei"/>
        <family val="2"/>
      </rPr>
      <t xml:space="preserve">のデータなし（</t>
    </r>
    <r>
      <rPr>
        <sz val="9"/>
        <color rgb="FF5E6B7A"/>
        <rFont val="游ゴシック"/>
        <family val="0"/>
        <charset val="1"/>
      </rPr>
      <t xml:space="preserve">9/15</t>
    </r>
    <r>
      <rPr>
        <sz val="9"/>
        <color rgb="FF5E6B7A"/>
        <rFont val="WenQuanYi Zen Hei"/>
        <family val="2"/>
      </rPr>
      <t xml:space="preserve">〜</t>
    </r>
    <r>
      <rPr>
        <sz val="9"/>
        <color rgb="FF5E6B7A"/>
        <rFont val="游ゴシック"/>
        <family val="0"/>
        <charset val="1"/>
      </rPr>
      <t xml:space="preserve">10/1</t>
    </r>
    <r>
      <rPr>
        <sz val="9"/>
        <color rgb="FF5E6B7A"/>
        <rFont val="WenQuanYi Zen Hei"/>
        <family val="2"/>
      </rPr>
      <t xml:space="preserve">）、</t>
    </r>
    <r>
      <rPr>
        <sz val="9"/>
        <color rgb="FF5E6B7A"/>
        <rFont val="游ゴシック"/>
        <family val="0"/>
        <charset val="1"/>
      </rPr>
      <t xml:space="preserve">7/29</t>
    </r>
    <r>
      <rPr>
        <sz val="9"/>
        <color rgb="FF5E6B7A"/>
        <rFont val="WenQuanYi Zen Hei"/>
        <family val="2"/>
      </rPr>
      <t xml:space="preserve">（設置当日）、</t>
    </r>
    <r>
      <rPr>
        <sz val="9"/>
        <color rgb="FF5E6B7A"/>
        <rFont val="游ゴシック"/>
        <family val="0"/>
        <charset val="1"/>
      </rPr>
      <t xml:space="preserve">10/13</t>
    </r>
    <r>
      <rPr>
        <sz val="9"/>
        <color rgb="FF5E6B7A"/>
        <rFont val="WenQuanYi Zen Hei"/>
        <family val="2"/>
      </rPr>
      <t xml:space="preserve">（</t>
    </r>
    <r>
      <rPr>
        <sz val="9"/>
        <color rgb="FF5E6B7A"/>
        <rFont val="游ゴシック"/>
        <family val="0"/>
        <charset val="1"/>
      </rPr>
      <t xml:space="preserve">14</t>
    </r>
    <r>
      <rPr>
        <sz val="9"/>
        <color rgb="FF5E6B7A"/>
        <rFont val="WenQuanYi Zen Hei"/>
        <family val="2"/>
      </rPr>
      <t xml:space="preserve">時ごろで記録終了）</t>
    </r>
  </si>
  <si>
    <r>
      <rPr>
        <sz val="9"/>
        <color rgb="FF5E6B7A"/>
        <rFont val="WenQuanYi Zen Hei"/>
        <family val="2"/>
      </rPr>
      <t xml:space="preserve">値は</t>
    </r>
    <r>
      <rPr>
        <sz val="9"/>
        <color rgb="FF5E6B7A"/>
        <rFont val="游ゴシック"/>
        <family val="0"/>
        <charset val="1"/>
      </rPr>
      <t xml:space="preserve">Python</t>
    </r>
    <r>
      <rPr>
        <sz val="9"/>
        <color rgb="FF5E6B7A"/>
        <rFont val="WenQuanYi Zen Hei"/>
        <family val="2"/>
      </rPr>
      <t xml:space="preserve">で</t>
    </r>
    <r>
      <rPr>
        <sz val="9"/>
        <color rgb="FF5E6B7A"/>
        <rFont val="游ゴシック"/>
        <family val="0"/>
        <charset val="1"/>
      </rPr>
      <t xml:space="preserve">1</t>
    </r>
    <r>
      <rPr>
        <sz val="9"/>
        <color rgb="FF5E6B7A"/>
        <rFont val="WenQuanYi Zen Hei"/>
        <family val="2"/>
      </rPr>
      <t xml:space="preserve">分値から計算した。期間別のまとめは数式で集計している</t>
    </r>
  </si>
  <si>
    <r>
      <rPr>
        <b val="true"/>
        <sz val="10"/>
        <color rgb="FF172033"/>
        <rFont val="WenQuanYi Zen Hei"/>
        <family val="2"/>
      </rPr>
      <t xml:space="preserve">日ごとの稼働時間［時間］（</t>
    </r>
    <r>
      <rPr>
        <b val="true"/>
        <sz val="10"/>
        <color rgb="FF172033"/>
        <rFont val="游ゴシック"/>
        <family val="0"/>
        <charset val="1"/>
      </rPr>
      <t xml:space="preserve">9</t>
    </r>
    <r>
      <rPr>
        <b val="true"/>
        <sz val="10"/>
        <color rgb="FF172033"/>
        <rFont val="WenQuanYi Zen Hei"/>
        <family val="2"/>
      </rPr>
      <t xml:space="preserve">〜</t>
    </r>
    <r>
      <rPr>
        <b val="true"/>
        <sz val="10"/>
        <color rgb="FF172033"/>
        <rFont val="游ゴシック"/>
        <family val="0"/>
        <charset val="1"/>
      </rPr>
      <t xml:space="preserve">17</t>
    </r>
    <r>
      <rPr>
        <b val="true"/>
        <sz val="10"/>
        <color rgb="FF172033"/>
        <rFont val="WenQuanYi Zen Hei"/>
        <family val="2"/>
      </rPr>
      <t xml:space="preserve">時台の</t>
    </r>
    <r>
      <rPr>
        <b val="true"/>
        <sz val="10"/>
        <color rgb="FF172033"/>
        <rFont val="游ゴシック"/>
        <family val="0"/>
        <charset val="1"/>
      </rPr>
      <t xml:space="preserve">9</t>
    </r>
    <r>
      <rPr>
        <b val="true"/>
        <sz val="10"/>
        <color rgb="FF172033"/>
        <rFont val="WenQuanYi Zen Hei"/>
        <family val="2"/>
      </rPr>
      <t xml:space="preserve">時間のうち「運転」の時間）</t>
    </r>
  </si>
  <si>
    <r>
      <rPr>
        <sz val="9"/>
        <color rgb="FF5E6B7A"/>
        <rFont val="WenQuanYi Zen Hei"/>
        <family val="2"/>
      </rPr>
      <t xml:space="preserve">灰色の行は土日祝。列</t>
    </r>
    <r>
      <rPr>
        <sz val="9"/>
        <color rgb="FF5E6B7A"/>
        <rFont val="游ゴシック"/>
        <family val="0"/>
        <charset val="1"/>
      </rPr>
      <t xml:space="preserve">3</t>
    </r>
    <r>
      <rPr>
        <sz val="9"/>
        <color rgb="FF5E6B7A"/>
        <rFont val="WenQuanYi Zen Hei"/>
        <family val="2"/>
      </rPr>
      <t xml:space="preserve">・列</t>
    </r>
    <r>
      <rPr>
        <sz val="9"/>
        <color rgb="FF5E6B7A"/>
        <rFont val="游ゴシック"/>
        <family val="0"/>
        <charset val="1"/>
      </rPr>
      <t xml:space="preserve">8</t>
    </r>
    <r>
      <rPr>
        <sz val="9"/>
        <color rgb="FF5E6B7A"/>
        <rFont val="WenQuanYi Zen Hei"/>
        <family val="2"/>
      </rPr>
      <t xml:space="preserve">・列</t>
    </r>
    <r>
      <rPr>
        <sz val="9"/>
        <color rgb="FF5E6B7A"/>
        <rFont val="游ゴシック"/>
        <family val="0"/>
        <charset val="1"/>
      </rPr>
      <t xml:space="preserve">11</t>
    </r>
    <r>
      <rPr>
        <sz val="9"/>
        <color rgb="FF5E6B7A"/>
        <rFont val="WenQuanYi Zen Hei"/>
        <family val="2"/>
      </rPr>
      <t xml:space="preserve">は</t>
    </r>
    <r>
      <rPr>
        <sz val="9"/>
        <color rgb="FF5E6B7A"/>
        <rFont val="游ゴシック"/>
        <family val="0"/>
        <charset val="1"/>
      </rPr>
      <t xml:space="preserve">3</t>
    </r>
    <r>
      <rPr>
        <sz val="9"/>
        <color rgb="FF5E6B7A"/>
        <rFont val="WenQuanYi Zen Hei"/>
        <family val="2"/>
      </rPr>
      <t xml:space="preserve">台の平均</t>
    </r>
  </si>
  <si>
    <t xml:space="preserve">日付</t>
  </si>
  <si>
    <t xml:space="preserve">表示用</t>
  </si>
  <si>
    <t xml:space="preserve">曜日</t>
  </si>
  <si>
    <t xml:space="preserve">区分</t>
  </si>
  <si>
    <t xml:space="preserve">3-1</t>
  </si>
  <si>
    <t xml:space="preserve">3-2</t>
  </si>
  <si>
    <t xml:space="preserve">3-3</t>
  </si>
  <si>
    <t xml:space="preserve">8-1</t>
  </si>
  <si>
    <t xml:space="preserve">8-2</t>
  </si>
  <si>
    <t xml:space="preserve">8-3</t>
  </si>
  <si>
    <t xml:space="preserve">11-1</t>
  </si>
  <si>
    <t xml:space="preserve">11-2</t>
  </si>
  <si>
    <t xml:space="preserve">11-3</t>
  </si>
  <si>
    <r>
      <rPr>
        <b val="true"/>
        <sz val="9"/>
        <color rgb="FFFFFFFF"/>
        <rFont val="WenQuanYi Zen Hei"/>
        <family val="2"/>
      </rPr>
      <t xml:space="preserve">列</t>
    </r>
    <r>
      <rPr>
        <b val="true"/>
        <sz val="9"/>
        <color rgb="FFFFFFFF"/>
        <rFont val="游ゴシック"/>
        <family val="0"/>
        <charset val="1"/>
      </rPr>
      <t xml:space="preserve">3</t>
    </r>
  </si>
  <si>
    <r>
      <rPr>
        <b val="true"/>
        <sz val="9"/>
        <color rgb="FFFFFFFF"/>
        <rFont val="WenQuanYi Zen Hei"/>
        <family val="2"/>
      </rPr>
      <t xml:space="preserve">列</t>
    </r>
    <r>
      <rPr>
        <b val="true"/>
        <sz val="9"/>
        <color rgb="FFFFFFFF"/>
        <rFont val="游ゴシック"/>
        <family val="0"/>
        <charset val="1"/>
      </rPr>
      <t xml:space="preserve">8</t>
    </r>
  </si>
  <si>
    <r>
      <rPr>
        <b val="true"/>
        <sz val="9"/>
        <color rgb="FFFFFFFF"/>
        <rFont val="WenQuanYi Zen Hei"/>
        <family val="2"/>
      </rPr>
      <t xml:space="preserve">列</t>
    </r>
    <r>
      <rPr>
        <b val="true"/>
        <sz val="9"/>
        <color rgb="FFFFFFFF"/>
        <rFont val="游ゴシック"/>
        <family val="0"/>
        <charset val="1"/>
      </rPr>
      <t xml:space="preserve">11</t>
    </r>
  </si>
  <si>
    <t xml:space="preserve">土日祝（グラフの帯）</t>
  </si>
  <si>
    <t xml:space="preserve">7/29</t>
  </si>
  <si>
    <t xml:space="preserve">水</t>
  </si>
  <si>
    <t xml:space="preserve">平日</t>
  </si>
  <si>
    <t xml:space="preserve">7/30</t>
  </si>
  <si>
    <t xml:space="preserve">木</t>
  </si>
  <si>
    <t xml:space="preserve">7/31</t>
  </si>
  <si>
    <t xml:space="preserve">金</t>
  </si>
  <si>
    <t xml:space="preserve">8/1</t>
  </si>
  <si>
    <t xml:space="preserve">土</t>
  </si>
  <si>
    <t xml:space="preserve">土日</t>
  </si>
  <si>
    <t xml:space="preserve">8/2</t>
  </si>
  <si>
    <t xml:space="preserve">日</t>
  </si>
  <si>
    <t xml:space="preserve">8/3</t>
  </si>
  <si>
    <t xml:space="preserve">月</t>
  </si>
  <si>
    <t xml:space="preserve">8/4</t>
  </si>
  <si>
    <t xml:space="preserve">火</t>
  </si>
  <si>
    <t xml:space="preserve">8/5</t>
  </si>
  <si>
    <t xml:space="preserve">8/6</t>
  </si>
  <si>
    <t xml:space="preserve">8/7</t>
  </si>
  <si>
    <t xml:space="preserve">8/8</t>
  </si>
  <si>
    <t xml:space="preserve">8/9</t>
  </si>
  <si>
    <t xml:space="preserve">8/10</t>
  </si>
  <si>
    <t xml:space="preserve">8/11</t>
  </si>
  <si>
    <t xml:space="preserve">山の日</t>
  </si>
  <si>
    <t xml:space="preserve">8/12</t>
  </si>
  <si>
    <t xml:space="preserve">8/13</t>
  </si>
  <si>
    <t xml:space="preserve">8/14</t>
  </si>
  <si>
    <t xml:space="preserve">8/15</t>
  </si>
  <si>
    <t xml:space="preserve">8/16</t>
  </si>
  <si>
    <t xml:space="preserve">8/17</t>
  </si>
  <si>
    <t xml:space="preserve">8/18</t>
  </si>
  <si>
    <t xml:space="preserve">8/19</t>
  </si>
  <si>
    <t xml:space="preserve">8/20</t>
  </si>
  <si>
    <t xml:space="preserve">8/21</t>
  </si>
  <si>
    <t xml:space="preserve">8/22</t>
  </si>
  <si>
    <t xml:space="preserve">8/23</t>
  </si>
  <si>
    <t xml:space="preserve">8/24</t>
  </si>
  <si>
    <t xml:space="preserve">8/25</t>
  </si>
  <si>
    <t xml:space="preserve">8/26</t>
  </si>
  <si>
    <t xml:space="preserve">8/27</t>
  </si>
  <si>
    <t xml:space="preserve">8/28</t>
  </si>
  <si>
    <t xml:space="preserve">8/29</t>
  </si>
  <si>
    <t xml:space="preserve">8/30</t>
  </si>
  <si>
    <t xml:space="preserve">8/31</t>
  </si>
  <si>
    <t xml:space="preserve">9/1</t>
  </si>
  <si>
    <t xml:space="preserve">9/2</t>
  </si>
  <si>
    <t xml:space="preserve">9/3</t>
  </si>
  <si>
    <t xml:space="preserve">9/4</t>
  </si>
  <si>
    <t xml:space="preserve">9/5</t>
  </si>
  <si>
    <t xml:space="preserve">9/6</t>
  </si>
  <si>
    <t xml:space="preserve">9/7</t>
  </si>
  <si>
    <t xml:space="preserve">9/8</t>
  </si>
  <si>
    <t xml:space="preserve">9/9</t>
  </si>
  <si>
    <t xml:space="preserve">9/10</t>
  </si>
  <si>
    <t xml:space="preserve">9/11</t>
  </si>
  <si>
    <t xml:space="preserve">9/12</t>
  </si>
  <si>
    <t xml:space="preserve">9/13</t>
  </si>
  <si>
    <t xml:space="preserve">9/14</t>
  </si>
  <si>
    <t xml:space="preserve">9/15</t>
  </si>
  <si>
    <t xml:space="preserve">9/16</t>
  </si>
  <si>
    <t xml:space="preserve">9/17</t>
  </si>
  <si>
    <t xml:space="preserve">9/18</t>
  </si>
  <si>
    <t xml:space="preserve">9/19</t>
  </si>
  <si>
    <t xml:space="preserve">9/20</t>
  </si>
  <si>
    <t xml:space="preserve">9/21</t>
  </si>
  <si>
    <t xml:space="preserve">敬老の日</t>
  </si>
  <si>
    <t xml:space="preserve">9/22</t>
  </si>
  <si>
    <t xml:space="preserve">国民の休日</t>
  </si>
  <si>
    <t xml:space="preserve">9/23</t>
  </si>
  <si>
    <t xml:space="preserve">秋分の日</t>
  </si>
  <si>
    <t xml:space="preserve">9/24</t>
  </si>
  <si>
    <t xml:space="preserve">9/25</t>
  </si>
  <si>
    <t xml:space="preserve">9/26</t>
  </si>
  <si>
    <t xml:space="preserve">9/27</t>
  </si>
  <si>
    <t xml:space="preserve">9/28</t>
  </si>
  <si>
    <t xml:space="preserve">9/29</t>
  </si>
  <si>
    <t xml:space="preserve">9/30</t>
  </si>
  <si>
    <t xml:space="preserve">10/1</t>
  </si>
  <si>
    <t xml:space="preserve">10/2</t>
  </si>
  <si>
    <t xml:space="preserve">10/3</t>
  </si>
  <si>
    <t xml:space="preserve">10/4</t>
  </si>
  <si>
    <t xml:space="preserve">10/5</t>
  </si>
  <si>
    <t xml:space="preserve">10/6</t>
  </si>
  <si>
    <t xml:space="preserve">10/7</t>
  </si>
  <si>
    <t xml:space="preserve">10/8</t>
  </si>
  <si>
    <t xml:space="preserve">10/9</t>
  </si>
  <si>
    <t xml:space="preserve">10/10</t>
  </si>
  <si>
    <t xml:space="preserve">10/11</t>
  </si>
  <si>
    <t xml:space="preserve">10/12</t>
  </si>
  <si>
    <t xml:space="preserve">スポーツの日</t>
  </si>
  <si>
    <t xml:space="preserve">10/13</t>
  </si>
  <si>
    <r>
      <rPr>
        <b val="true"/>
        <sz val="10"/>
        <color rgb="FF172033"/>
        <rFont val="WenQuanYi Zen Hei"/>
        <family val="2"/>
      </rPr>
      <t xml:space="preserve">研究に使える時間［時間］（平日に</t>
    </r>
    <r>
      <rPr>
        <b val="true"/>
        <sz val="10"/>
        <color rgb="FF172033"/>
        <rFont val="游ゴシック"/>
        <family val="0"/>
        <charset val="1"/>
      </rPr>
      <t xml:space="preserve">2</t>
    </r>
    <r>
      <rPr>
        <b val="true"/>
        <sz val="10"/>
        <color rgb="FF172033"/>
        <rFont val="WenQuanYi Zen Hei"/>
        <family val="2"/>
      </rPr>
      <t xml:space="preserve">台とも「運転」の時間）</t>
    </r>
  </si>
  <si>
    <r>
      <rPr>
        <sz val="9"/>
        <color rgb="FF5E6B7A"/>
        <rFont val="WenQuanYi Zen Hei"/>
        <family val="2"/>
      </rPr>
      <t xml:space="preserve">土日祝は分析に使わないため空欄。列</t>
    </r>
    <r>
      <rPr>
        <sz val="9"/>
        <color rgb="FF5E6B7A"/>
        <rFont val="游ゴシック"/>
        <family val="0"/>
        <charset val="1"/>
      </rPr>
      <t xml:space="preserve">8</t>
    </r>
    <r>
      <rPr>
        <sz val="9"/>
        <color rgb="FF5E6B7A"/>
        <rFont val="WenQuanYi Zen Hei"/>
        <family val="2"/>
      </rPr>
      <t xml:space="preserve">・列</t>
    </r>
    <r>
      <rPr>
        <sz val="9"/>
        <color rgb="FF5E6B7A"/>
        <rFont val="游ゴシック"/>
        <family val="0"/>
        <charset val="1"/>
      </rPr>
      <t xml:space="preserve">11</t>
    </r>
    <r>
      <rPr>
        <sz val="9"/>
        <color rgb="FF5E6B7A"/>
        <rFont val="WenQuanYi Zen Hei"/>
        <family val="2"/>
      </rPr>
      <t xml:space="preserve">は</t>
    </r>
    <r>
      <rPr>
        <sz val="9"/>
        <color rgb="FF5E6B7A"/>
        <rFont val="游ゴシック"/>
        <family val="0"/>
        <charset val="1"/>
      </rPr>
      <t xml:space="preserve">3</t>
    </r>
    <r>
      <rPr>
        <sz val="9"/>
        <color rgb="FF5E6B7A"/>
        <rFont val="WenQuanYi Zen Hei"/>
        <family val="2"/>
      </rPr>
      <t xml:space="preserve">組の平均</t>
    </r>
  </si>
  <si>
    <r>
      <rPr>
        <b val="true"/>
        <sz val="9"/>
        <color rgb="FFFFFFFF"/>
        <rFont val="游ゴシック"/>
        <family val="0"/>
        <charset val="1"/>
      </rPr>
      <t xml:space="preserve">8-1</t>
    </r>
    <r>
      <rPr>
        <b val="true"/>
        <sz val="9"/>
        <color rgb="FFFFFFFF"/>
        <rFont val="WenQuanYi Zen Hei"/>
        <family val="2"/>
      </rPr>
      <t xml:space="preserve">と</t>
    </r>
    <r>
      <rPr>
        <b val="true"/>
        <sz val="9"/>
        <color rgb="FFFFFFFF"/>
        <rFont val="游ゴシック"/>
        <family val="0"/>
        <charset val="1"/>
      </rPr>
      <t xml:space="preserve">3-1</t>
    </r>
  </si>
  <si>
    <r>
      <rPr>
        <b val="true"/>
        <sz val="9"/>
        <color rgb="FFFFFFFF"/>
        <rFont val="游ゴシック"/>
        <family val="0"/>
        <charset val="1"/>
      </rPr>
      <t xml:space="preserve">8-2</t>
    </r>
    <r>
      <rPr>
        <b val="true"/>
        <sz val="9"/>
        <color rgb="FFFFFFFF"/>
        <rFont val="WenQuanYi Zen Hei"/>
        <family val="2"/>
      </rPr>
      <t xml:space="preserve">と</t>
    </r>
    <r>
      <rPr>
        <b val="true"/>
        <sz val="9"/>
        <color rgb="FFFFFFFF"/>
        <rFont val="游ゴシック"/>
        <family val="0"/>
        <charset val="1"/>
      </rPr>
      <t xml:space="preserve">3-2</t>
    </r>
  </si>
  <si>
    <r>
      <rPr>
        <b val="true"/>
        <sz val="9"/>
        <color rgb="FFFFFFFF"/>
        <rFont val="游ゴシック"/>
        <family val="0"/>
        <charset val="1"/>
      </rPr>
      <t xml:space="preserve">8-3</t>
    </r>
    <r>
      <rPr>
        <b val="true"/>
        <sz val="9"/>
        <color rgb="FFFFFFFF"/>
        <rFont val="WenQuanYi Zen Hei"/>
        <family val="2"/>
      </rPr>
      <t xml:space="preserve">と</t>
    </r>
    <r>
      <rPr>
        <b val="true"/>
        <sz val="9"/>
        <color rgb="FFFFFFFF"/>
        <rFont val="游ゴシック"/>
        <family val="0"/>
        <charset val="1"/>
      </rPr>
      <t xml:space="preserve">3-3</t>
    </r>
  </si>
  <si>
    <r>
      <rPr>
        <b val="true"/>
        <sz val="9"/>
        <color rgb="FFFFFFFF"/>
        <rFont val="游ゴシック"/>
        <family val="0"/>
        <charset val="1"/>
      </rPr>
      <t xml:space="preserve">11-1</t>
    </r>
    <r>
      <rPr>
        <b val="true"/>
        <sz val="9"/>
        <color rgb="FFFFFFFF"/>
        <rFont val="WenQuanYi Zen Hei"/>
        <family val="2"/>
      </rPr>
      <t xml:space="preserve">と</t>
    </r>
    <r>
      <rPr>
        <b val="true"/>
        <sz val="9"/>
        <color rgb="FFFFFFFF"/>
        <rFont val="游ゴシック"/>
        <family val="0"/>
        <charset val="1"/>
      </rPr>
      <t xml:space="preserve">3-1</t>
    </r>
  </si>
  <si>
    <r>
      <rPr>
        <b val="true"/>
        <sz val="9"/>
        <color rgb="FFFFFFFF"/>
        <rFont val="游ゴシック"/>
        <family val="0"/>
        <charset val="1"/>
      </rPr>
      <t xml:space="preserve">11-2</t>
    </r>
    <r>
      <rPr>
        <b val="true"/>
        <sz val="9"/>
        <color rgb="FFFFFFFF"/>
        <rFont val="WenQuanYi Zen Hei"/>
        <family val="2"/>
      </rPr>
      <t xml:space="preserve">と</t>
    </r>
    <r>
      <rPr>
        <b val="true"/>
        <sz val="9"/>
        <color rgb="FFFFFFFF"/>
        <rFont val="游ゴシック"/>
        <family val="0"/>
        <charset val="1"/>
      </rPr>
      <t xml:space="preserve">3-2</t>
    </r>
  </si>
  <si>
    <r>
      <rPr>
        <b val="true"/>
        <sz val="9"/>
        <color rgb="FFFFFFFF"/>
        <rFont val="游ゴシック"/>
        <family val="0"/>
        <charset val="1"/>
      </rPr>
      <t xml:space="preserve">11-3</t>
    </r>
    <r>
      <rPr>
        <b val="true"/>
        <sz val="9"/>
        <color rgb="FFFFFFFF"/>
        <rFont val="WenQuanYi Zen Hei"/>
        <family val="2"/>
      </rPr>
      <t xml:space="preserve">と</t>
    </r>
    <r>
      <rPr>
        <b val="true"/>
        <sz val="9"/>
        <color rgb="FFFFFFFF"/>
        <rFont val="游ゴシック"/>
        <family val="0"/>
        <charset val="1"/>
      </rPr>
      <t xml:space="preserve">3-3</t>
    </r>
  </si>
  <si>
    <r>
      <rPr>
        <b val="true"/>
        <sz val="10"/>
        <color rgb="FF172033"/>
        <rFont val="WenQuanYi Zen Hei"/>
        <family val="2"/>
      </rPr>
      <t xml:space="preserve">平日の平均［時間／</t>
    </r>
    <r>
      <rPr>
        <b val="true"/>
        <sz val="10"/>
        <color rgb="FF172033"/>
        <rFont val="游ゴシック"/>
        <family val="0"/>
        <charset val="1"/>
      </rPr>
      <t xml:space="preserve">9</t>
    </r>
    <r>
      <rPr>
        <b val="true"/>
        <sz val="10"/>
        <color rgb="FF172033"/>
        <rFont val="WenQuanYi Zen Hei"/>
        <family val="2"/>
      </rPr>
      <t xml:space="preserve">時間］と、研究に使える時間が</t>
    </r>
    <r>
      <rPr>
        <b val="true"/>
        <sz val="10"/>
        <color rgb="FF172033"/>
        <rFont val="游ゴシック"/>
        <family val="0"/>
        <charset val="1"/>
      </rPr>
      <t xml:space="preserve">7</t>
    </r>
    <r>
      <rPr>
        <b val="true"/>
        <sz val="10"/>
        <color rgb="FF172033"/>
        <rFont val="WenQuanYi Zen Hei"/>
        <family val="2"/>
      </rPr>
      <t xml:space="preserve">時間以上の平日の日数</t>
    </r>
  </si>
  <si>
    <t xml:space="preserve">項目</t>
  </si>
  <si>
    <r>
      <rPr>
        <b val="true"/>
        <sz val="9"/>
        <color rgb="FFFFFFFF"/>
        <rFont val="游ゴシック"/>
        <family val="0"/>
        <charset val="1"/>
      </rPr>
      <t xml:space="preserve">8</t>
    </r>
    <r>
      <rPr>
        <b val="true"/>
        <sz val="9"/>
        <color rgb="FFFFFFFF"/>
        <rFont val="WenQuanYi Zen Hei"/>
        <family val="2"/>
      </rPr>
      <t xml:space="preserve">月</t>
    </r>
  </si>
  <si>
    <r>
      <rPr>
        <b val="true"/>
        <sz val="9"/>
        <color rgb="FFFFFFFF"/>
        <rFont val="游ゴシック"/>
        <family val="0"/>
        <charset val="1"/>
      </rPr>
      <t xml:space="preserve">9</t>
    </r>
    <r>
      <rPr>
        <b val="true"/>
        <sz val="9"/>
        <color rgb="FFFFFFFF"/>
        <rFont val="WenQuanYi Zen Hei"/>
        <family val="2"/>
      </rPr>
      <t xml:space="preserve">月前半</t>
    </r>
  </si>
  <si>
    <r>
      <rPr>
        <b val="true"/>
        <sz val="9"/>
        <color rgb="FFFFFFFF"/>
        <rFont val="游ゴシック"/>
        <family val="0"/>
        <charset val="1"/>
      </rPr>
      <t xml:space="preserve">9</t>
    </r>
    <r>
      <rPr>
        <b val="true"/>
        <sz val="9"/>
        <color rgb="FFFFFFFF"/>
        <rFont val="WenQuanYi Zen Hei"/>
        <family val="2"/>
      </rPr>
      <t xml:space="preserve">月後半</t>
    </r>
  </si>
  <si>
    <r>
      <rPr>
        <b val="true"/>
        <sz val="9"/>
        <color rgb="FFFFFFFF"/>
        <rFont val="游ゴシック"/>
        <family val="0"/>
        <charset val="1"/>
      </rPr>
      <t xml:space="preserve">10</t>
    </r>
    <r>
      <rPr>
        <b val="true"/>
        <sz val="9"/>
        <color rgb="FFFFFFFF"/>
        <rFont val="WenQuanYi Zen Hei"/>
        <family val="2"/>
      </rPr>
      <t xml:space="preserve">月</t>
    </r>
  </si>
  <si>
    <r>
      <rPr>
        <b val="true"/>
        <sz val="9"/>
        <color rgb="FFFFFFFF"/>
        <rFont val="游ゴシック"/>
        <family val="0"/>
        <charset val="1"/>
      </rPr>
      <t xml:space="preserve">8</t>
    </r>
    <r>
      <rPr>
        <b val="true"/>
        <sz val="9"/>
        <color rgb="FFFFFFFF"/>
        <rFont val="WenQuanYi Zen Hei"/>
        <family val="2"/>
      </rPr>
      <t xml:space="preserve">月：</t>
    </r>
    <r>
      <rPr>
        <b val="true"/>
        <sz val="9"/>
        <color rgb="FFFFFFFF"/>
        <rFont val="游ゴシック"/>
        <family val="0"/>
        <charset val="1"/>
      </rPr>
      <t xml:space="preserve">7</t>
    </r>
    <r>
      <rPr>
        <b val="true"/>
        <sz val="9"/>
        <color rgb="FFFFFFFF"/>
        <rFont val="WenQuanYi Zen Hei"/>
        <family val="2"/>
      </rPr>
      <t xml:space="preserve">時間以上の日数</t>
    </r>
  </si>
  <si>
    <r>
      <rPr>
        <b val="true"/>
        <sz val="9"/>
        <color rgb="FFFFFFFF"/>
        <rFont val="游ゴシック"/>
        <family val="0"/>
        <charset val="1"/>
      </rPr>
      <t xml:space="preserve">9</t>
    </r>
    <r>
      <rPr>
        <b val="true"/>
        <sz val="9"/>
        <color rgb="FFFFFFFF"/>
        <rFont val="WenQuanYi Zen Hei"/>
        <family val="2"/>
      </rPr>
      <t xml:space="preserve">月前半：</t>
    </r>
    <r>
      <rPr>
        <b val="true"/>
        <sz val="9"/>
        <color rgb="FFFFFFFF"/>
        <rFont val="游ゴシック"/>
        <family val="0"/>
        <charset val="1"/>
      </rPr>
      <t xml:space="preserve">7</t>
    </r>
    <r>
      <rPr>
        <b val="true"/>
        <sz val="9"/>
        <color rgb="FFFFFFFF"/>
        <rFont val="WenQuanYi Zen Hei"/>
        <family val="2"/>
      </rPr>
      <t xml:space="preserve">時間以上の日数</t>
    </r>
  </si>
  <si>
    <r>
      <rPr>
        <b val="true"/>
        <sz val="9"/>
        <color rgb="FFFFFFFF"/>
        <rFont val="游ゴシック"/>
        <family val="0"/>
        <charset val="1"/>
      </rPr>
      <t xml:space="preserve">9</t>
    </r>
    <r>
      <rPr>
        <b val="true"/>
        <sz val="9"/>
        <color rgb="FFFFFFFF"/>
        <rFont val="WenQuanYi Zen Hei"/>
        <family val="2"/>
      </rPr>
      <t xml:space="preserve">月後半：</t>
    </r>
    <r>
      <rPr>
        <b val="true"/>
        <sz val="9"/>
        <color rgb="FFFFFFFF"/>
        <rFont val="游ゴシック"/>
        <family val="0"/>
        <charset val="1"/>
      </rPr>
      <t xml:space="preserve">7</t>
    </r>
    <r>
      <rPr>
        <b val="true"/>
        <sz val="9"/>
        <color rgb="FFFFFFFF"/>
        <rFont val="WenQuanYi Zen Hei"/>
        <family val="2"/>
      </rPr>
      <t xml:space="preserve">時間以上の日数</t>
    </r>
  </si>
  <si>
    <r>
      <rPr>
        <b val="true"/>
        <sz val="9"/>
        <color rgb="FFFFFFFF"/>
        <rFont val="游ゴシック"/>
        <family val="0"/>
        <charset val="1"/>
      </rPr>
      <t xml:space="preserve">10</t>
    </r>
    <r>
      <rPr>
        <b val="true"/>
        <sz val="9"/>
        <color rgb="FFFFFFFF"/>
        <rFont val="WenQuanYi Zen Hei"/>
        <family val="2"/>
      </rPr>
      <t xml:space="preserve">月：</t>
    </r>
    <r>
      <rPr>
        <b val="true"/>
        <sz val="9"/>
        <color rgb="FFFFFFFF"/>
        <rFont val="游ゴシック"/>
        <family val="0"/>
        <charset val="1"/>
      </rPr>
      <t xml:space="preserve">7</t>
    </r>
    <r>
      <rPr>
        <b val="true"/>
        <sz val="9"/>
        <color rgb="FFFFFFFF"/>
        <rFont val="WenQuanYi Zen Hei"/>
        <family val="2"/>
      </rPr>
      <t xml:space="preserve">時間以上の日数</t>
    </r>
  </si>
  <si>
    <t xml:space="preserve">期間</t>
  </si>
  <si>
    <r>
      <rPr>
        <sz val="9"/>
        <color rgb="FF5E6B7A"/>
        <rFont val="游ゴシック"/>
        <family val="0"/>
        <charset val="1"/>
      </rPr>
      <t xml:space="preserve">07/30</t>
    </r>
    <r>
      <rPr>
        <sz val="9"/>
        <color rgb="FF5E6B7A"/>
        <rFont val="WenQuanYi Zen Hei"/>
        <family val="2"/>
      </rPr>
      <t xml:space="preserve">〜</t>
    </r>
    <r>
      <rPr>
        <sz val="9"/>
        <color rgb="FF5E6B7A"/>
        <rFont val="游ゴシック"/>
        <family val="0"/>
        <charset val="1"/>
      </rPr>
      <t xml:space="preserve">08/31</t>
    </r>
  </si>
  <si>
    <r>
      <rPr>
        <sz val="9"/>
        <color rgb="FF5E6B7A"/>
        <rFont val="游ゴシック"/>
        <family val="0"/>
        <charset val="1"/>
      </rPr>
      <t xml:space="preserve">09/01</t>
    </r>
    <r>
      <rPr>
        <sz val="9"/>
        <color rgb="FF5E6B7A"/>
        <rFont val="WenQuanYi Zen Hei"/>
        <family val="2"/>
      </rPr>
      <t xml:space="preserve">〜</t>
    </r>
    <r>
      <rPr>
        <sz val="9"/>
        <color rgb="FF5E6B7A"/>
        <rFont val="游ゴシック"/>
        <family val="0"/>
        <charset val="1"/>
      </rPr>
      <t xml:space="preserve">09/15</t>
    </r>
  </si>
  <si>
    <r>
      <rPr>
        <sz val="9"/>
        <color rgb="FF5E6B7A"/>
        <rFont val="游ゴシック"/>
        <family val="0"/>
        <charset val="1"/>
      </rPr>
      <t xml:space="preserve">09/16</t>
    </r>
    <r>
      <rPr>
        <sz val="9"/>
        <color rgb="FF5E6B7A"/>
        <rFont val="WenQuanYi Zen Hei"/>
        <family val="2"/>
      </rPr>
      <t xml:space="preserve">〜</t>
    </r>
    <r>
      <rPr>
        <sz val="9"/>
        <color rgb="FF5E6B7A"/>
        <rFont val="游ゴシック"/>
        <family val="0"/>
        <charset val="1"/>
      </rPr>
      <t xml:space="preserve">09/30</t>
    </r>
  </si>
  <si>
    <r>
      <rPr>
        <sz val="9"/>
        <color rgb="FF5E6B7A"/>
        <rFont val="游ゴシック"/>
        <family val="0"/>
        <charset val="1"/>
      </rPr>
      <t xml:space="preserve">10/01</t>
    </r>
    <r>
      <rPr>
        <sz val="9"/>
        <color rgb="FF5E6B7A"/>
        <rFont val="WenQuanYi Zen Hei"/>
        <family val="2"/>
      </rPr>
      <t xml:space="preserve">〜</t>
    </r>
    <r>
      <rPr>
        <sz val="9"/>
        <color rgb="FF5E6B7A"/>
        <rFont val="游ゴシック"/>
        <family val="0"/>
        <charset val="1"/>
      </rPr>
      <t xml:space="preserve">10/13</t>
    </r>
  </si>
  <si>
    <r>
      <rPr>
        <sz val="9"/>
        <color rgb="FF172033"/>
        <rFont val="WenQuanYi Zen Hei"/>
        <family val="2"/>
      </rPr>
      <t xml:space="preserve">稼働時間：列</t>
    </r>
    <r>
      <rPr>
        <sz val="9"/>
        <color rgb="FF172033"/>
        <rFont val="游ゴシック"/>
        <family val="0"/>
        <charset val="1"/>
      </rPr>
      <t xml:space="preserve">3</t>
    </r>
  </si>
  <si>
    <r>
      <rPr>
        <sz val="9"/>
        <color rgb="FF172033"/>
        <rFont val="WenQuanYi Zen Hei"/>
        <family val="2"/>
      </rPr>
      <t xml:space="preserve">稼働時間：列</t>
    </r>
    <r>
      <rPr>
        <sz val="9"/>
        <color rgb="FF172033"/>
        <rFont val="游ゴシック"/>
        <family val="0"/>
        <charset val="1"/>
      </rPr>
      <t xml:space="preserve">8</t>
    </r>
  </si>
  <si>
    <r>
      <rPr>
        <sz val="9"/>
        <color rgb="FF172033"/>
        <rFont val="WenQuanYi Zen Hei"/>
        <family val="2"/>
      </rPr>
      <t xml:space="preserve">稼働時間：列</t>
    </r>
    <r>
      <rPr>
        <sz val="9"/>
        <color rgb="FF172033"/>
        <rFont val="游ゴシック"/>
        <family val="0"/>
        <charset val="1"/>
      </rPr>
      <t xml:space="preserve">11</t>
    </r>
  </si>
  <si>
    <r>
      <rPr>
        <sz val="9"/>
        <color rgb="FF172033"/>
        <rFont val="WenQuanYi Zen Hei"/>
        <family val="2"/>
      </rPr>
      <t xml:space="preserve">研究に使える：</t>
    </r>
    <r>
      <rPr>
        <sz val="9"/>
        <color rgb="FF172033"/>
        <rFont val="游ゴシック"/>
        <family val="0"/>
        <charset val="1"/>
      </rPr>
      <t xml:space="preserve">8-1</t>
    </r>
    <r>
      <rPr>
        <sz val="9"/>
        <color rgb="FF172033"/>
        <rFont val="WenQuanYi Zen Hei"/>
        <family val="2"/>
      </rPr>
      <t xml:space="preserve">と</t>
    </r>
    <r>
      <rPr>
        <sz val="9"/>
        <color rgb="FF172033"/>
        <rFont val="游ゴシック"/>
        <family val="0"/>
        <charset val="1"/>
      </rPr>
      <t xml:space="preserve">3-1</t>
    </r>
  </si>
  <si>
    <r>
      <rPr>
        <sz val="9"/>
        <color rgb="FF172033"/>
        <rFont val="WenQuanYi Zen Hei"/>
        <family val="2"/>
      </rPr>
      <t xml:space="preserve">研究に使える：</t>
    </r>
    <r>
      <rPr>
        <sz val="9"/>
        <color rgb="FF172033"/>
        <rFont val="游ゴシック"/>
        <family val="0"/>
        <charset val="1"/>
      </rPr>
      <t xml:space="preserve">8-2</t>
    </r>
    <r>
      <rPr>
        <sz val="9"/>
        <color rgb="FF172033"/>
        <rFont val="WenQuanYi Zen Hei"/>
        <family val="2"/>
      </rPr>
      <t xml:space="preserve">と</t>
    </r>
    <r>
      <rPr>
        <sz val="9"/>
        <color rgb="FF172033"/>
        <rFont val="游ゴシック"/>
        <family val="0"/>
        <charset val="1"/>
      </rPr>
      <t xml:space="preserve">3-2</t>
    </r>
  </si>
  <si>
    <r>
      <rPr>
        <sz val="9"/>
        <color rgb="FF172033"/>
        <rFont val="WenQuanYi Zen Hei"/>
        <family val="2"/>
      </rPr>
      <t xml:space="preserve">研究に使える：</t>
    </r>
    <r>
      <rPr>
        <sz val="9"/>
        <color rgb="FF172033"/>
        <rFont val="游ゴシック"/>
        <family val="0"/>
        <charset val="1"/>
      </rPr>
      <t xml:space="preserve">8-3</t>
    </r>
    <r>
      <rPr>
        <sz val="9"/>
        <color rgb="FF172033"/>
        <rFont val="WenQuanYi Zen Hei"/>
        <family val="2"/>
      </rPr>
      <t xml:space="preserve">と</t>
    </r>
    <r>
      <rPr>
        <sz val="9"/>
        <color rgb="FF172033"/>
        <rFont val="游ゴシック"/>
        <family val="0"/>
        <charset val="1"/>
      </rPr>
      <t xml:space="preserve">3-3</t>
    </r>
  </si>
  <si>
    <r>
      <rPr>
        <sz val="9"/>
        <color rgb="FF172033"/>
        <rFont val="WenQuanYi Zen Hei"/>
        <family val="2"/>
      </rPr>
      <t xml:space="preserve">研究に使える：</t>
    </r>
    <r>
      <rPr>
        <sz val="9"/>
        <color rgb="FF172033"/>
        <rFont val="游ゴシック"/>
        <family val="0"/>
        <charset val="1"/>
      </rPr>
      <t xml:space="preserve">11-1</t>
    </r>
    <r>
      <rPr>
        <sz val="9"/>
        <color rgb="FF172033"/>
        <rFont val="WenQuanYi Zen Hei"/>
        <family val="2"/>
      </rPr>
      <t xml:space="preserve">と</t>
    </r>
    <r>
      <rPr>
        <sz val="9"/>
        <color rgb="FF172033"/>
        <rFont val="游ゴシック"/>
        <family val="0"/>
        <charset val="1"/>
      </rPr>
      <t xml:space="preserve">3-1</t>
    </r>
  </si>
  <si>
    <r>
      <rPr>
        <sz val="9"/>
        <color rgb="FF172033"/>
        <rFont val="WenQuanYi Zen Hei"/>
        <family val="2"/>
      </rPr>
      <t xml:space="preserve">研究に使える：</t>
    </r>
    <r>
      <rPr>
        <sz val="9"/>
        <color rgb="FF172033"/>
        <rFont val="游ゴシック"/>
        <family val="0"/>
        <charset val="1"/>
      </rPr>
      <t xml:space="preserve">11-2</t>
    </r>
    <r>
      <rPr>
        <sz val="9"/>
        <color rgb="FF172033"/>
        <rFont val="WenQuanYi Zen Hei"/>
        <family val="2"/>
      </rPr>
      <t xml:space="preserve">と</t>
    </r>
    <r>
      <rPr>
        <sz val="9"/>
        <color rgb="FF172033"/>
        <rFont val="游ゴシック"/>
        <family val="0"/>
        <charset val="1"/>
      </rPr>
      <t xml:space="preserve">3-2</t>
    </r>
  </si>
  <si>
    <r>
      <rPr>
        <sz val="9"/>
        <color rgb="FF172033"/>
        <rFont val="WenQuanYi Zen Hei"/>
        <family val="2"/>
      </rPr>
      <t xml:space="preserve">研究に使える：</t>
    </r>
    <r>
      <rPr>
        <sz val="9"/>
        <color rgb="FF172033"/>
        <rFont val="游ゴシック"/>
        <family val="0"/>
        <charset val="1"/>
      </rPr>
      <t xml:space="preserve">11-3</t>
    </r>
    <r>
      <rPr>
        <sz val="9"/>
        <color rgb="FF172033"/>
        <rFont val="WenQuanYi Zen Hei"/>
        <family val="2"/>
      </rPr>
      <t xml:space="preserve">と</t>
    </r>
    <r>
      <rPr>
        <sz val="9"/>
        <color rgb="FF172033"/>
        <rFont val="游ゴシック"/>
        <family val="0"/>
        <charset val="1"/>
      </rPr>
      <t xml:space="preserve">3-3</t>
    </r>
  </si>
  <si>
    <r>
      <rPr>
        <sz val="9"/>
        <color rgb="FF172033"/>
        <rFont val="WenQuanYi Zen Hei"/>
        <family val="2"/>
      </rPr>
      <t xml:space="preserve">研究に使える：列</t>
    </r>
    <r>
      <rPr>
        <sz val="9"/>
        <color rgb="FF172033"/>
        <rFont val="游ゴシック"/>
        <family val="0"/>
        <charset val="1"/>
      </rPr>
      <t xml:space="preserve">8</t>
    </r>
    <r>
      <rPr>
        <sz val="9"/>
        <color rgb="FF172033"/>
        <rFont val="WenQuanYi Zen Hei"/>
        <family val="2"/>
      </rPr>
      <t xml:space="preserve">（</t>
    </r>
    <r>
      <rPr>
        <sz val="9"/>
        <color rgb="FF172033"/>
        <rFont val="游ゴシック"/>
        <family val="0"/>
        <charset val="1"/>
      </rPr>
      <t xml:space="preserve">3</t>
    </r>
    <r>
      <rPr>
        <sz val="9"/>
        <color rgb="FF172033"/>
        <rFont val="WenQuanYi Zen Hei"/>
        <family val="2"/>
      </rPr>
      <t xml:space="preserve">組平均）</t>
    </r>
  </si>
  <si>
    <r>
      <rPr>
        <sz val="9"/>
        <color rgb="FF172033"/>
        <rFont val="WenQuanYi Zen Hei"/>
        <family val="2"/>
      </rPr>
      <t xml:space="preserve">研究に使える：列</t>
    </r>
    <r>
      <rPr>
        <sz val="9"/>
        <color rgb="FF172033"/>
        <rFont val="游ゴシック"/>
        <family val="0"/>
        <charset val="1"/>
      </rPr>
      <t xml:space="preserve">11</t>
    </r>
    <r>
      <rPr>
        <sz val="9"/>
        <color rgb="FF172033"/>
        <rFont val="WenQuanYi Zen Hei"/>
        <family val="2"/>
      </rPr>
      <t xml:space="preserve">（</t>
    </r>
    <r>
      <rPr>
        <sz val="9"/>
        <color rgb="FF172033"/>
        <rFont val="游ゴシック"/>
        <family val="0"/>
        <charset val="1"/>
      </rPr>
      <t xml:space="preserve">3</t>
    </r>
    <r>
      <rPr>
        <sz val="9"/>
        <color rgb="FF172033"/>
        <rFont val="WenQuanYi Zen Hei"/>
        <family val="2"/>
      </rPr>
      <t xml:space="preserve">組平均）</t>
    </r>
  </si>
  <si>
    <t xml:space="preserve">グラフ（元データは「日ごとの稼働時間」「研究に使える時間」。灰色の帯は土日祝）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</si>
</sst>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"/>
    <numFmt numFmtId="166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72033"/>
      <name val="WenQuanYi Zen Hei"/>
      <family val="2"/>
    </font>
    <font>
      <b val="true"/>
      <sz val="10"/>
      <color rgb="FF172033"/>
      <name val="游ゴシック"/>
      <family val="0"/>
      <charset val="1"/>
    </font>
    <font>
      <sz val="9"/>
      <color rgb="FF5E6B7A"/>
      <name val="WenQuanYi Zen Hei"/>
      <family val="2"/>
    </font>
    <font>
      <sz val="9"/>
      <color rgb="FF5E6B7A"/>
      <name val="游ゴシック"/>
      <family val="0"/>
      <charset val="1"/>
    </font>
    <font>
      <sz val="9"/>
      <color rgb="FF172033"/>
      <name val="游ゴシック"/>
      <family val="0"/>
      <charset val="1"/>
    </font>
    <font>
      <sz val="9"/>
      <color rgb="FF172033"/>
      <name val="WenQuanYi Zen Hei"/>
      <family val="2"/>
    </font>
    <font>
      <b val="true"/>
      <sz val="9"/>
      <color rgb="FFFFFFFF"/>
      <name val="WenQuanYi Zen Hei"/>
      <family val="2"/>
    </font>
    <font>
      <b val="true"/>
      <sz val="9"/>
      <color rgb="FFFFFFFF"/>
      <name val="游ゴシック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2354F"/>
        <bgColor rgb="FF172033"/>
      </patternFill>
    </fill>
    <fill>
      <patternFill patternType="solid">
        <fgColor rgb="FFEEF2F6"/>
        <bgColor rgb="FFE9EC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86E"/>
      <rgbColor rgb="FFA7B1BC"/>
      <rgbColor rgb="FF878787"/>
      <rgbColor rgb="FF9999FF"/>
      <rgbColor rgb="FF993366"/>
      <rgbColor rgb="FFEEF2F6"/>
      <rgbColor rgb="FFE9ECF1"/>
      <rgbColor rgb="FF660066"/>
      <rgbColor rgb="FFFF8080"/>
      <rgbColor rgb="FF0B5CAD"/>
      <rgbColor rgb="FFC9D1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8AA"/>
      <rgbColor rgb="FFCCFFFF"/>
      <rgbColor rgb="FFD9D9D9"/>
      <rgbColor rgb="FFFFFF99"/>
      <rgbColor rgb="FF8CC4FF"/>
      <rgbColor rgb="FFFF99CC"/>
      <rgbColor rgb="FFCC99FF"/>
      <rgbColor rgb="FFFFCC99"/>
      <rgbColor rgb="FF118DFF"/>
      <rgbColor rgb="FF7FD8CE"/>
      <rgbColor rgb="FF99CC00"/>
      <rgbColor rgb="FFFFCC00"/>
      <rgbColor rgb="FFFF9900"/>
      <rgbColor rgb="FFFF6600"/>
      <rgbColor rgb="FF5E6B7A"/>
      <rgbColor rgb="FF969696"/>
      <rgbColor rgb="FF172033"/>
      <rgbColor rgb="FF339966"/>
      <rgbColor rgb="FF003300"/>
      <rgbColor rgb="FF333300"/>
      <rgbColor rgb="FF993300"/>
      <rgbColor rgb="FF993366"/>
      <rgbColor rgb="FF333399"/>
      <rgbColor rgb="FF2235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日中の稼働時間（3台の平均）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"土日祝"</c:f>
              <c:strCache>
                <c:ptCount val="1"/>
                <c:pt idx="0">
                  <c:v>土日祝</c:v>
                </c:pt>
              </c:strCache>
            </c:strRef>
          </c:tx>
          <c:spPr>
            <a:solidFill>
              <a:srgbClr val="e9ecf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日ごとの稼働時間!$Q$4:$Q$80</c:f>
              <c:numCache>
                <c:formatCode>General</c:formatCode>
                <c:ptCount val="77"/>
                <c:pt idx="3">
                  <c:v>9</c:v>
                </c:pt>
                <c:pt idx="4">
                  <c:v>9</c:v>
                </c:pt>
                <c:pt idx="10">
                  <c:v>9</c:v>
                </c:pt>
                <c:pt idx="11">
                  <c:v>9</c:v>
                </c:pt>
                <c:pt idx="13">
                  <c:v>9</c:v>
                </c:pt>
                <c:pt idx="17">
                  <c:v>9</c:v>
                </c:pt>
                <c:pt idx="18">
                  <c:v>9</c:v>
                </c:pt>
                <c:pt idx="24">
                  <c:v>9</c:v>
                </c:pt>
                <c:pt idx="25">
                  <c:v>9</c:v>
                </c:pt>
                <c:pt idx="31">
                  <c:v>9</c:v>
                </c:pt>
                <c:pt idx="32">
                  <c:v>9</c:v>
                </c:pt>
                <c:pt idx="38">
                  <c:v>9</c:v>
                </c:pt>
                <c:pt idx="39">
                  <c:v>9</c:v>
                </c:pt>
                <c:pt idx="45">
                  <c:v>9</c:v>
                </c:pt>
                <c:pt idx="46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9">
                  <c:v>9</c:v>
                </c:pt>
                <c:pt idx="60">
                  <c:v>9</c:v>
                </c:pt>
                <c:pt idx="66">
                  <c:v>9</c:v>
                </c:pt>
                <c:pt idx="67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</c:numCache>
            </c:numRef>
          </c:val>
        </c:ser>
        <c:gapWidth val="0"/>
        <c:overlap val="0"/>
        <c:axId val="52332496"/>
        <c:axId val="693644"/>
      </c:barChart>
      <c:lineChart>
        <c:grouping val="standard"/>
        <c:varyColors val="0"/>
        <c:ser>
          <c:idx val="1"/>
          <c:order val="1"/>
          <c:tx>
            <c:strRef>
              <c:f>"列3"</c:f>
              <c:strCache>
                <c:ptCount val="1"/>
                <c:pt idx="0">
                  <c:v>列3</c:v>
                </c:pt>
              </c:strCache>
            </c:strRef>
          </c:tx>
          <c:spPr>
            <a:solidFill>
              <a:srgbClr val="5e6b7a"/>
            </a:solidFill>
            <a:ln w="19080">
              <a:solidFill>
                <a:srgbClr val="5e6b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日ごとの稼働時間!$N$4:$N$80</c:f>
              <c:numCache>
                <c:formatCode>0.0</c:formatCode>
                <c:ptCount val="77"/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8.33</c:v>
                </c:pt>
                <c:pt idx="7">
                  <c:v>8.33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8.33</c:v>
                </c:pt>
                <c:pt idx="14">
                  <c:v>9</c:v>
                </c:pt>
                <c:pt idx="15">
                  <c:v>8.67</c:v>
                </c:pt>
                <c:pt idx="16">
                  <c:v>8.67</c:v>
                </c:pt>
                <c:pt idx="17">
                  <c:v>9</c:v>
                </c:pt>
                <c:pt idx="18">
                  <c:v>9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8.33</c:v>
                </c:pt>
                <c:pt idx="25">
                  <c:v>9</c:v>
                </c:pt>
                <c:pt idx="26">
                  <c:v>8.67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7.5</c:v>
                </c:pt>
                <c:pt idx="33">
                  <c:v>7.5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8</c:v>
                </c:pt>
                <c:pt idx="38">
                  <c:v>7</c:v>
                </c:pt>
                <c:pt idx="39">
                  <c:v>4.5</c:v>
                </c:pt>
                <c:pt idx="40">
                  <c:v>4</c:v>
                </c:pt>
                <c:pt idx="41">
                  <c:v>8.67</c:v>
                </c:pt>
                <c:pt idx="42">
                  <c:v>8.33</c:v>
                </c:pt>
                <c:pt idx="43">
                  <c:v>3</c:v>
                </c:pt>
                <c:pt idx="44">
                  <c:v>2</c:v>
                </c:pt>
                <c:pt idx="45">
                  <c:v>2.67</c:v>
                </c:pt>
                <c:pt idx="46">
                  <c:v>4.67</c:v>
                </c:pt>
                <c:pt idx="47">
                  <c:v>8</c:v>
                </c:pt>
                <c:pt idx="48">
                  <c:v>8</c:v>
                </c:pt>
                <c:pt idx="49">
                  <c:v>0</c:v>
                </c:pt>
                <c:pt idx="50">
                  <c:v>5.5</c:v>
                </c:pt>
                <c:pt idx="51">
                  <c:v>4.5</c:v>
                </c:pt>
                <c:pt idx="52">
                  <c:v>4</c:v>
                </c:pt>
                <c:pt idx="53">
                  <c:v>2.5</c:v>
                </c:pt>
                <c:pt idx="54">
                  <c:v>0.5</c:v>
                </c:pt>
                <c:pt idx="55">
                  <c:v>8.5</c:v>
                </c:pt>
                <c:pt idx="56">
                  <c:v>1.67</c:v>
                </c:pt>
                <c:pt idx="57">
                  <c:v>8.33</c:v>
                </c:pt>
                <c:pt idx="58">
                  <c:v>8.67</c:v>
                </c:pt>
                <c:pt idx="59">
                  <c:v>2</c:v>
                </c:pt>
                <c:pt idx="60">
                  <c:v>4</c:v>
                </c:pt>
                <c:pt idx="61">
                  <c:v>5</c:v>
                </c:pt>
                <c:pt idx="62">
                  <c:v>1.33</c:v>
                </c:pt>
                <c:pt idx="63">
                  <c:v>0</c:v>
                </c:pt>
                <c:pt idx="64">
                  <c:v>7.33</c:v>
                </c:pt>
                <c:pt idx="65">
                  <c:v>1</c:v>
                </c:pt>
                <c:pt idx="66">
                  <c:v>3.67</c:v>
                </c:pt>
                <c:pt idx="67">
                  <c:v>0.33</c:v>
                </c:pt>
                <c:pt idx="68">
                  <c:v>1</c:v>
                </c:pt>
                <c:pt idx="69">
                  <c:v>6</c:v>
                </c:pt>
                <c:pt idx="70">
                  <c:v>2.33</c:v>
                </c:pt>
                <c:pt idx="71">
                  <c:v>4.67</c:v>
                </c:pt>
                <c:pt idx="72">
                  <c:v>6.67</c:v>
                </c:pt>
                <c:pt idx="73">
                  <c:v>7</c:v>
                </c:pt>
                <c:pt idx="74">
                  <c:v>5.67</c:v>
                </c:pt>
                <c:pt idx="75">
                  <c:v>5.33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"列8"</c:f>
              <c:strCache>
                <c:ptCount val="1"/>
                <c:pt idx="0">
                  <c:v>列8</c:v>
                </c:pt>
              </c:strCache>
            </c:strRef>
          </c:tx>
          <c:spPr>
            <a:solidFill>
              <a:srgbClr val="01b8aa"/>
            </a:solidFill>
            <a:ln w="19080">
              <a:solidFill>
                <a:srgbClr val="01b8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日ごとの稼働時間!$O$4:$O$80</c:f>
              <c:numCache>
                <c:formatCode>0.0</c:formatCode>
                <c:ptCount val="77"/>
                <c:pt idx="1">
                  <c:v>8.33</c:v>
                </c:pt>
                <c:pt idx="2">
                  <c:v>7.33</c:v>
                </c:pt>
                <c:pt idx="3">
                  <c:v>4.67</c:v>
                </c:pt>
                <c:pt idx="4">
                  <c:v>3.67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8</c:v>
                </c:pt>
                <c:pt idx="9">
                  <c:v>8.33</c:v>
                </c:pt>
                <c:pt idx="10">
                  <c:v>3.33</c:v>
                </c:pt>
                <c:pt idx="11">
                  <c:v>1.33</c:v>
                </c:pt>
                <c:pt idx="12">
                  <c:v>4.67</c:v>
                </c:pt>
                <c:pt idx="13">
                  <c:v>0.67</c:v>
                </c:pt>
                <c:pt idx="14">
                  <c:v>5</c:v>
                </c:pt>
                <c:pt idx="15">
                  <c:v>3.67</c:v>
                </c:pt>
                <c:pt idx="16">
                  <c:v>3.5</c:v>
                </c:pt>
                <c:pt idx="17">
                  <c:v>0.5</c:v>
                </c:pt>
                <c:pt idx="18">
                  <c:v>0</c:v>
                </c:pt>
                <c:pt idx="19">
                  <c:v>7.5</c:v>
                </c:pt>
                <c:pt idx="20">
                  <c:v>8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3</c:v>
                </c:pt>
                <c:pt idx="25">
                  <c:v>4</c:v>
                </c:pt>
                <c:pt idx="26">
                  <c:v>8.5</c:v>
                </c:pt>
                <c:pt idx="27">
                  <c:v>8.5</c:v>
                </c:pt>
                <c:pt idx="28">
                  <c:v>8.5</c:v>
                </c:pt>
                <c:pt idx="29">
                  <c:v>7</c:v>
                </c:pt>
                <c:pt idx="30">
                  <c:v>6</c:v>
                </c:pt>
                <c:pt idx="31">
                  <c:v>1.67</c:v>
                </c:pt>
                <c:pt idx="32">
                  <c:v>3.67</c:v>
                </c:pt>
                <c:pt idx="33">
                  <c:v>7</c:v>
                </c:pt>
                <c:pt idx="34">
                  <c:v>7.33</c:v>
                </c:pt>
                <c:pt idx="35">
                  <c:v>7.33</c:v>
                </c:pt>
                <c:pt idx="36">
                  <c:v>6.33</c:v>
                </c:pt>
                <c:pt idx="37">
                  <c:v>5.67</c:v>
                </c:pt>
                <c:pt idx="38">
                  <c:v>3.33</c:v>
                </c:pt>
                <c:pt idx="39">
                  <c:v>0</c:v>
                </c:pt>
                <c:pt idx="40">
                  <c:v>6</c:v>
                </c:pt>
                <c:pt idx="41">
                  <c:v>7.67</c:v>
                </c:pt>
                <c:pt idx="42">
                  <c:v>6.33</c:v>
                </c:pt>
                <c:pt idx="43">
                  <c:v>4.33</c:v>
                </c:pt>
                <c:pt idx="44">
                  <c:v>3.33</c:v>
                </c:pt>
                <c:pt idx="45">
                  <c:v>2</c:v>
                </c:pt>
                <c:pt idx="46">
                  <c:v>1.67</c:v>
                </c:pt>
                <c:pt idx="47">
                  <c:v>6.67</c:v>
                </c:pt>
                <c:pt idx="48">
                  <c:v>7.33</c:v>
                </c:pt>
                <c:pt idx="49">
                  <c:v>2.33</c:v>
                </c:pt>
                <c:pt idx="50">
                  <c:v>6.33</c:v>
                </c:pt>
                <c:pt idx="51">
                  <c:v>6.67</c:v>
                </c:pt>
                <c:pt idx="52">
                  <c:v>2</c:v>
                </c:pt>
                <c:pt idx="53">
                  <c:v>0</c:v>
                </c:pt>
                <c:pt idx="54">
                  <c:v>0</c:v>
                </c:pt>
                <c:pt idx="55">
                  <c:v>4.67</c:v>
                </c:pt>
                <c:pt idx="56">
                  <c:v>0.33</c:v>
                </c:pt>
                <c:pt idx="57">
                  <c:v>8.33</c:v>
                </c:pt>
                <c:pt idx="58">
                  <c:v>8</c:v>
                </c:pt>
                <c:pt idx="59">
                  <c:v>0.67</c:v>
                </c:pt>
                <c:pt idx="60">
                  <c:v>0.67</c:v>
                </c:pt>
                <c:pt idx="61">
                  <c:v>5</c:v>
                </c:pt>
                <c:pt idx="62">
                  <c:v>1.67</c:v>
                </c:pt>
                <c:pt idx="63">
                  <c:v>3</c:v>
                </c:pt>
                <c:pt idx="64">
                  <c:v>8.67</c:v>
                </c:pt>
                <c:pt idx="65">
                  <c:v>2.33</c:v>
                </c:pt>
                <c:pt idx="66">
                  <c:v>3.33</c:v>
                </c:pt>
                <c:pt idx="67">
                  <c:v>3.33</c:v>
                </c:pt>
                <c:pt idx="68">
                  <c:v>2</c:v>
                </c:pt>
                <c:pt idx="69">
                  <c:v>6</c:v>
                </c:pt>
                <c:pt idx="70">
                  <c:v>4.33</c:v>
                </c:pt>
                <c:pt idx="71">
                  <c:v>6.67</c:v>
                </c:pt>
                <c:pt idx="72">
                  <c:v>7</c:v>
                </c:pt>
                <c:pt idx="73">
                  <c:v>6.33</c:v>
                </c:pt>
                <c:pt idx="74">
                  <c:v>5.33</c:v>
                </c:pt>
                <c:pt idx="75">
                  <c:v>5.33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"列11"</c:f>
              <c:strCache>
                <c:ptCount val="1"/>
                <c:pt idx="0">
                  <c:v>列11</c:v>
                </c:pt>
              </c:strCache>
            </c:strRef>
          </c:tx>
          <c:spPr>
            <a:solidFill>
              <a:srgbClr val="118dff"/>
            </a:solidFill>
            <a:ln w="19080">
              <a:solidFill>
                <a:srgbClr val="118d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日ごとの稼働時間!$P$4:$P$80</c:f>
              <c:numCache>
                <c:formatCode>0.0</c:formatCode>
                <c:ptCount val="77"/>
                <c:pt idx="1">
                  <c:v>8</c:v>
                </c:pt>
                <c:pt idx="2">
                  <c:v>7.67</c:v>
                </c:pt>
                <c:pt idx="3">
                  <c:v>7.33</c:v>
                </c:pt>
                <c:pt idx="4">
                  <c:v>6.67</c:v>
                </c:pt>
                <c:pt idx="5">
                  <c:v>7</c:v>
                </c:pt>
                <c:pt idx="6">
                  <c:v>6.33</c:v>
                </c:pt>
                <c:pt idx="7">
                  <c:v>7</c:v>
                </c:pt>
                <c:pt idx="8">
                  <c:v>7.33</c:v>
                </c:pt>
                <c:pt idx="9">
                  <c:v>7.67</c:v>
                </c:pt>
                <c:pt idx="10">
                  <c:v>7</c:v>
                </c:pt>
                <c:pt idx="11">
                  <c:v>4.67</c:v>
                </c:pt>
                <c:pt idx="12">
                  <c:v>7.67</c:v>
                </c:pt>
                <c:pt idx="13">
                  <c:v>3.67</c:v>
                </c:pt>
                <c:pt idx="14">
                  <c:v>7.67</c:v>
                </c:pt>
                <c:pt idx="15">
                  <c:v>6</c:v>
                </c:pt>
                <c:pt idx="16">
                  <c:v>5.33</c:v>
                </c:pt>
                <c:pt idx="17">
                  <c:v>4.33</c:v>
                </c:pt>
                <c:pt idx="18">
                  <c:v>6</c:v>
                </c:pt>
                <c:pt idx="19">
                  <c:v>6.67</c:v>
                </c:pt>
                <c:pt idx="20">
                  <c:v>7.67</c:v>
                </c:pt>
                <c:pt idx="21">
                  <c:v>7.67</c:v>
                </c:pt>
                <c:pt idx="22">
                  <c:v>7.33</c:v>
                </c:pt>
                <c:pt idx="23">
                  <c:v>8</c:v>
                </c:pt>
                <c:pt idx="24">
                  <c:v>5.33</c:v>
                </c:pt>
                <c:pt idx="25">
                  <c:v>5</c:v>
                </c:pt>
                <c:pt idx="26">
                  <c:v>8.67</c:v>
                </c:pt>
                <c:pt idx="27">
                  <c:v>8.67</c:v>
                </c:pt>
                <c:pt idx="28">
                  <c:v>8.67</c:v>
                </c:pt>
                <c:pt idx="29">
                  <c:v>7.67</c:v>
                </c:pt>
                <c:pt idx="30">
                  <c:v>8.67</c:v>
                </c:pt>
                <c:pt idx="31">
                  <c:v>3</c:v>
                </c:pt>
                <c:pt idx="32">
                  <c:v>5</c:v>
                </c:pt>
                <c:pt idx="33">
                  <c:v>6</c:v>
                </c:pt>
                <c:pt idx="34">
                  <c:v>6.33</c:v>
                </c:pt>
                <c:pt idx="35">
                  <c:v>7</c:v>
                </c:pt>
                <c:pt idx="36">
                  <c:v>7.33</c:v>
                </c:pt>
                <c:pt idx="37">
                  <c:v>5.67</c:v>
                </c:pt>
                <c:pt idx="38">
                  <c:v>5.33</c:v>
                </c:pt>
                <c:pt idx="39">
                  <c:v>2</c:v>
                </c:pt>
                <c:pt idx="40">
                  <c:v>3.67</c:v>
                </c:pt>
                <c:pt idx="41">
                  <c:v>6.67</c:v>
                </c:pt>
                <c:pt idx="42">
                  <c:v>4.33</c:v>
                </c:pt>
                <c:pt idx="43">
                  <c:v>7</c:v>
                </c:pt>
                <c:pt idx="44">
                  <c:v>5.33</c:v>
                </c:pt>
                <c:pt idx="45">
                  <c:v>5.67</c:v>
                </c:pt>
                <c:pt idx="46">
                  <c:v>5</c:v>
                </c:pt>
                <c:pt idx="47">
                  <c:v>6.33</c:v>
                </c:pt>
                <c:pt idx="65">
                  <c:v>2</c:v>
                </c:pt>
                <c:pt idx="66">
                  <c:v>4.33</c:v>
                </c:pt>
                <c:pt idx="67">
                  <c:v>4.33</c:v>
                </c:pt>
                <c:pt idx="68">
                  <c:v>5.33</c:v>
                </c:pt>
                <c:pt idx="69">
                  <c:v>6.67</c:v>
                </c:pt>
                <c:pt idx="70">
                  <c:v>6</c:v>
                </c:pt>
                <c:pt idx="71">
                  <c:v>8.33</c:v>
                </c:pt>
                <c:pt idx="72">
                  <c:v>6.67</c:v>
                </c:pt>
                <c:pt idx="73">
                  <c:v>6.33</c:v>
                </c:pt>
                <c:pt idx="74">
                  <c:v>6.67</c:v>
                </c:pt>
                <c:pt idx="75">
                  <c:v>6.67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332496"/>
        <c:axId val="693644"/>
      </c:lineChart>
      <c:catAx>
        <c:axId val="5233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644"/>
        <c:crosses val="autoZero"/>
        <c:auto val="1"/>
        <c:lblAlgn val="ctr"/>
        <c:lblOffset val="100"/>
        <c:noMultiLvlLbl val="0"/>
      </c:catAx>
      <c:valAx>
        <c:axId val="693644"/>
        <c:scaling>
          <c:orientation val="minMax"/>
          <c:max val="9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時間（9時間中）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32496"/>
        <c:crosses val="autoZero"/>
        <c:crossBetween val="between"/>
        <c:majorUnit val="3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列3：室外機ごとの日中の稼働時間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"土日祝"</c:f>
              <c:strCache>
                <c:ptCount val="1"/>
                <c:pt idx="0">
                  <c:v>土日祝</c:v>
                </c:pt>
              </c:strCache>
            </c:strRef>
          </c:tx>
          <c:spPr>
            <a:solidFill>
              <a:srgbClr val="e9ecf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日ごとの稼働時間!$Q$4:$Q$80</c:f>
              <c:numCache>
                <c:formatCode>General</c:formatCode>
                <c:ptCount val="77"/>
                <c:pt idx="3">
                  <c:v>9</c:v>
                </c:pt>
                <c:pt idx="4">
                  <c:v>9</c:v>
                </c:pt>
                <c:pt idx="10">
                  <c:v>9</c:v>
                </c:pt>
                <c:pt idx="11">
                  <c:v>9</c:v>
                </c:pt>
                <c:pt idx="13">
                  <c:v>9</c:v>
                </c:pt>
                <c:pt idx="17">
                  <c:v>9</c:v>
                </c:pt>
                <c:pt idx="18">
                  <c:v>9</c:v>
                </c:pt>
                <c:pt idx="24">
                  <c:v>9</c:v>
                </c:pt>
                <c:pt idx="25">
                  <c:v>9</c:v>
                </c:pt>
                <c:pt idx="31">
                  <c:v>9</c:v>
                </c:pt>
                <c:pt idx="32">
                  <c:v>9</c:v>
                </c:pt>
                <c:pt idx="38">
                  <c:v>9</c:v>
                </c:pt>
                <c:pt idx="39">
                  <c:v>9</c:v>
                </c:pt>
                <c:pt idx="45">
                  <c:v>9</c:v>
                </c:pt>
                <c:pt idx="46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9">
                  <c:v>9</c:v>
                </c:pt>
                <c:pt idx="60">
                  <c:v>9</c:v>
                </c:pt>
                <c:pt idx="66">
                  <c:v>9</c:v>
                </c:pt>
                <c:pt idx="67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</c:numCache>
            </c:numRef>
          </c:val>
        </c:ser>
        <c:gapWidth val="0"/>
        <c:overlap val="0"/>
        <c:axId val="10533731"/>
        <c:axId val="77863418"/>
      </c:barChart>
      <c:lineChart>
        <c:grouping val="standard"/>
        <c:varyColors val="0"/>
        <c:ser>
          <c:idx val="1"/>
          <c:order val="1"/>
          <c:tx>
            <c:strRef>
              <c:f>"3-1"</c:f>
              <c:strCache>
                <c:ptCount val="1"/>
                <c:pt idx="0">
                  <c:v>3-1</c:v>
                </c:pt>
              </c:strCache>
            </c:strRef>
          </c:tx>
          <c:spPr>
            <a:solidFill>
              <a:srgbClr val="22354f"/>
            </a:solidFill>
            <a:ln w="19080">
              <a:solidFill>
                <a:srgbClr val="2235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日ごとの稼働時間!$E$4:$E$80</c:f>
              <c:numCache>
                <c:formatCode>0.0</c:formatCode>
                <c:ptCount val="77"/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8</c:v>
                </c:pt>
                <c:pt idx="14">
                  <c:v>9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6</c:v>
                </c:pt>
                <c:pt idx="33">
                  <c:v>7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7</c:v>
                </c:pt>
                <c:pt idx="38">
                  <c:v>6</c:v>
                </c:pt>
                <c:pt idx="39">
                  <c:v>0</c:v>
                </c:pt>
                <c:pt idx="40">
                  <c:v>1</c:v>
                </c:pt>
                <c:pt idx="41">
                  <c:v>8</c:v>
                </c:pt>
                <c:pt idx="42">
                  <c:v>8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4</c:v>
                </c:pt>
                <c:pt idx="47">
                  <c:v>8</c:v>
                </c:pt>
                <c:pt idx="48">
                  <c:v>8</c:v>
                </c:pt>
                <c:pt idx="49">
                  <c:v>0</c:v>
                </c:pt>
                <c:pt idx="50">
                  <c:v>5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</c:v>
                </c:pt>
                <c:pt idx="56">
                  <c:v>0</c:v>
                </c:pt>
                <c:pt idx="57">
                  <c:v>9</c:v>
                </c:pt>
                <c:pt idx="58">
                  <c:v>9</c:v>
                </c:pt>
                <c:pt idx="59">
                  <c:v>0</c:v>
                </c:pt>
                <c:pt idx="60">
                  <c:v>1</c:v>
                </c:pt>
                <c:pt idx="61">
                  <c:v>3</c:v>
                </c:pt>
                <c:pt idx="62">
                  <c:v>3</c:v>
                </c:pt>
                <c:pt idx="63">
                  <c:v>0</c:v>
                </c:pt>
                <c:pt idx="64">
                  <c:v>7</c:v>
                </c:pt>
                <c:pt idx="65">
                  <c:v>0</c:v>
                </c:pt>
                <c:pt idx="66">
                  <c:v>5</c:v>
                </c:pt>
                <c:pt idx="67">
                  <c:v>0</c:v>
                </c:pt>
                <c:pt idx="68">
                  <c:v>0</c:v>
                </c:pt>
                <c:pt idx="69">
                  <c:v>4</c:v>
                </c:pt>
                <c:pt idx="70">
                  <c:v>0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3</c:v>
                </c:pt>
                <c:pt idx="75">
                  <c:v>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"3-2"</c:f>
              <c:strCache>
                <c:ptCount val="1"/>
                <c:pt idx="0">
                  <c:v>3-2</c:v>
                </c:pt>
              </c:strCache>
            </c:strRef>
          </c:tx>
          <c:spPr>
            <a:solidFill>
              <a:srgbClr val="5e6b7a"/>
            </a:solidFill>
            <a:ln w="19080">
              <a:solidFill>
                <a:srgbClr val="5e6b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日ごとの稼働時間!$F$4:$F$80</c:f>
              <c:numCache>
                <c:formatCode>0.0</c:formatCode>
                <c:ptCount val="77"/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8">
                  <c:v>6</c:v>
                </c:pt>
                <c:pt idx="41">
                  <c:v>9</c:v>
                </c:pt>
                <c:pt idx="42">
                  <c:v>9</c:v>
                </c:pt>
                <c:pt idx="43">
                  <c:v>5</c:v>
                </c:pt>
                <c:pt idx="44">
                  <c:v>1</c:v>
                </c:pt>
                <c:pt idx="45">
                  <c:v>2</c:v>
                </c:pt>
                <c:pt idx="46">
                  <c:v>4</c:v>
                </c:pt>
                <c:pt idx="47">
                  <c:v>8</c:v>
                </c:pt>
                <c:pt idx="56">
                  <c:v>1</c:v>
                </c:pt>
                <c:pt idx="57">
                  <c:v>7</c:v>
                </c:pt>
                <c:pt idx="58">
                  <c:v>9</c:v>
                </c:pt>
                <c:pt idx="59">
                  <c:v>1</c:v>
                </c:pt>
                <c:pt idx="60">
                  <c:v>3</c:v>
                </c:pt>
                <c:pt idx="61">
                  <c:v>6</c:v>
                </c:pt>
                <c:pt idx="62">
                  <c:v>1</c:v>
                </c:pt>
                <c:pt idx="63">
                  <c:v>0</c:v>
                </c:pt>
                <c:pt idx="64">
                  <c:v>7</c:v>
                </c:pt>
                <c:pt idx="65">
                  <c:v>2</c:v>
                </c:pt>
                <c:pt idx="66">
                  <c:v>3</c:v>
                </c:pt>
                <c:pt idx="67">
                  <c:v>0</c:v>
                </c:pt>
                <c:pt idx="68">
                  <c:v>0</c:v>
                </c:pt>
                <c:pt idx="69">
                  <c:v>6</c:v>
                </c:pt>
                <c:pt idx="70">
                  <c:v>3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7</c:v>
                </c:pt>
                <c:pt idx="75">
                  <c:v>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"3-3"</c:f>
              <c:strCache>
                <c:ptCount val="1"/>
                <c:pt idx="0">
                  <c:v>3-3</c:v>
                </c:pt>
              </c:strCache>
            </c:strRef>
          </c:tx>
          <c:spPr>
            <a:solidFill>
              <a:srgbClr val="a7b1bc"/>
            </a:solidFill>
            <a:ln w="19080">
              <a:solidFill>
                <a:srgbClr val="a7b1b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日ごとの稼働時間!$G$4:$G$80</c:f>
              <c:numCache>
                <c:formatCode>0.0</c:formatCode>
                <c:ptCount val="77"/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7</c:v>
                </c:pt>
                <c:pt idx="25">
                  <c:v>9</c:v>
                </c:pt>
                <c:pt idx="26">
                  <c:v>8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8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7</c:v>
                </c:pt>
                <c:pt idx="41">
                  <c:v>9</c:v>
                </c:pt>
                <c:pt idx="42">
                  <c:v>8</c:v>
                </c:pt>
                <c:pt idx="43">
                  <c:v>4</c:v>
                </c:pt>
                <c:pt idx="44">
                  <c:v>5</c:v>
                </c:pt>
                <c:pt idx="45">
                  <c:v>4</c:v>
                </c:pt>
                <c:pt idx="46">
                  <c:v>6</c:v>
                </c:pt>
                <c:pt idx="47">
                  <c:v>8</c:v>
                </c:pt>
                <c:pt idx="48">
                  <c:v>8</c:v>
                </c:pt>
                <c:pt idx="49">
                  <c:v>0</c:v>
                </c:pt>
                <c:pt idx="50">
                  <c:v>6</c:v>
                </c:pt>
                <c:pt idx="51">
                  <c:v>8</c:v>
                </c:pt>
                <c:pt idx="52">
                  <c:v>8</c:v>
                </c:pt>
                <c:pt idx="53">
                  <c:v>5</c:v>
                </c:pt>
                <c:pt idx="54">
                  <c:v>1</c:v>
                </c:pt>
                <c:pt idx="55">
                  <c:v>9</c:v>
                </c:pt>
                <c:pt idx="56">
                  <c:v>4</c:v>
                </c:pt>
                <c:pt idx="57">
                  <c:v>9</c:v>
                </c:pt>
                <c:pt idx="58">
                  <c:v>8</c:v>
                </c:pt>
                <c:pt idx="59">
                  <c:v>5</c:v>
                </c:pt>
                <c:pt idx="60">
                  <c:v>8</c:v>
                </c:pt>
                <c:pt idx="61">
                  <c:v>6</c:v>
                </c:pt>
                <c:pt idx="62">
                  <c:v>0</c:v>
                </c:pt>
                <c:pt idx="63">
                  <c:v>0</c:v>
                </c:pt>
                <c:pt idx="64">
                  <c:v>8</c:v>
                </c:pt>
                <c:pt idx="65">
                  <c:v>1</c:v>
                </c:pt>
                <c:pt idx="66">
                  <c:v>3</c:v>
                </c:pt>
                <c:pt idx="67">
                  <c:v>1</c:v>
                </c:pt>
                <c:pt idx="68">
                  <c:v>3</c:v>
                </c:pt>
                <c:pt idx="69">
                  <c:v>8</c:v>
                </c:pt>
                <c:pt idx="70">
                  <c:v>4</c:v>
                </c:pt>
                <c:pt idx="71">
                  <c:v>2</c:v>
                </c:pt>
                <c:pt idx="72">
                  <c:v>8</c:v>
                </c:pt>
                <c:pt idx="73">
                  <c:v>9</c:v>
                </c:pt>
                <c:pt idx="74">
                  <c:v>7</c:v>
                </c:pt>
                <c:pt idx="75">
                  <c:v>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533731"/>
        <c:axId val="77863418"/>
      </c:lineChart>
      <c:catAx>
        <c:axId val="105337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63418"/>
        <c:crosses val="autoZero"/>
        <c:auto val="1"/>
        <c:lblAlgn val="ctr"/>
        <c:lblOffset val="100"/>
        <c:noMultiLvlLbl val="0"/>
      </c:catAx>
      <c:valAx>
        <c:axId val="77863418"/>
        <c:scaling>
          <c:orientation val="minMax"/>
          <c:max val="9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時間（9時間中）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33731"/>
        <c:crosses val="autoZero"/>
        <c:crossBetween val="between"/>
        <c:majorUnit val="3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列8：室外機ごとの日中の稼働時間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"土日祝"</c:f>
              <c:strCache>
                <c:ptCount val="1"/>
                <c:pt idx="0">
                  <c:v>土日祝</c:v>
                </c:pt>
              </c:strCache>
            </c:strRef>
          </c:tx>
          <c:spPr>
            <a:solidFill>
              <a:srgbClr val="e9ecf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日ごとの稼働時間!$Q$4:$Q$80</c:f>
              <c:numCache>
                <c:formatCode>General</c:formatCode>
                <c:ptCount val="77"/>
                <c:pt idx="3">
                  <c:v>9</c:v>
                </c:pt>
                <c:pt idx="4">
                  <c:v>9</c:v>
                </c:pt>
                <c:pt idx="10">
                  <c:v>9</c:v>
                </c:pt>
                <c:pt idx="11">
                  <c:v>9</c:v>
                </c:pt>
                <c:pt idx="13">
                  <c:v>9</c:v>
                </c:pt>
                <c:pt idx="17">
                  <c:v>9</c:v>
                </c:pt>
                <c:pt idx="18">
                  <c:v>9</c:v>
                </c:pt>
                <c:pt idx="24">
                  <c:v>9</c:v>
                </c:pt>
                <c:pt idx="25">
                  <c:v>9</c:v>
                </c:pt>
                <c:pt idx="31">
                  <c:v>9</c:v>
                </c:pt>
                <c:pt idx="32">
                  <c:v>9</c:v>
                </c:pt>
                <c:pt idx="38">
                  <c:v>9</c:v>
                </c:pt>
                <c:pt idx="39">
                  <c:v>9</c:v>
                </c:pt>
                <c:pt idx="45">
                  <c:v>9</c:v>
                </c:pt>
                <c:pt idx="46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9">
                  <c:v>9</c:v>
                </c:pt>
                <c:pt idx="60">
                  <c:v>9</c:v>
                </c:pt>
                <c:pt idx="66">
                  <c:v>9</c:v>
                </c:pt>
                <c:pt idx="67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</c:numCache>
            </c:numRef>
          </c:val>
        </c:ser>
        <c:gapWidth val="0"/>
        <c:overlap val="0"/>
        <c:axId val="73562386"/>
        <c:axId val="80925745"/>
      </c:barChart>
      <c:lineChart>
        <c:grouping val="standard"/>
        <c:varyColors val="0"/>
        <c:ser>
          <c:idx val="1"/>
          <c:order val="1"/>
          <c:tx>
            <c:strRef>
              <c:f>"8-1"</c:f>
              <c:strCache>
                <c:ptCount val="1"/>
                <c:pt idx="0">
                  <c:v>8-1</c:v>
                </c:pt>
              </c:strCache>
            </c:strRef>
          </c:tx>
          <c:spPr>
            <a:solidFill>
              <a:srgbClr val="00786e"/>
            </a:solidFill>
            <a:ln w="19080">
              <a:solidFill>
                <a:srgbClr val="00786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日ごとの稼働時間!$H$4:$H$80</c:f>
              <c:numCache>
                <c:formatCode>0.0</c:formatCode>
                <c:ptCount val="77"/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9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4</c:v>
                </c:pt>
                <c:pt idx="12">
                  <c:v>7</c:v>
                </c:pt>
                <c:pt idx="13">
                  <c:v>0</c:v>
                </c:pt>
                <c:pt idx="14">
                  <c:v>8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8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4</c:v>
                </c:pt>
                <c:pt idx="25">
                  <c:v>5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6</c:v>
                </c:pt>
                <c:pt idx="30">
                  <c:v>5</c:v>
                </c:pt>
                <c:pt idx="31">
                  <c:v>0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5</c:v>
                </c:pt>
                <c:pt idx="37">
                  <c:v>4</c:v>
                </c:pt>
                <c:pt idx="38">
                  <c:v>0</c:v>
                </c:pt>
                <c:pt idx="39">
                  <c:v>0</c:v>
                </c:pt>
                <c:pt idx="40">
                  <c:v>5</c:v>
                </c:pt>
                <c:pt idx="41">
                  <c:v>7</c:v>
                </c:pt>
                <c:pt idx="42">
                  <c:v>6</c:v>
                </c:pt>
                <c:pt idx="43">
                  <c:v>1</c:v>
                </c:pt>
                <c:pt idx="44">
                  <c:v>0</c:v>
                </c:pt>
                <c:pt idx="45">
                  <c:v>3</c:v>
                </c:pt>
                <c:pt idx="46">
                  <c:v>1</c:v>
                </c:pt>
                <c:pt idx="47">
                  <c:v>7</c:v>
                </c:pt>
                <c:pt idx="48">
                  <c:v>7</c:v>
                </c:pt>
                <c:pt idx="49">
                  <c:v>0</c:v>
                </c:pt>
                <c:pt idx="50">
                  <c:v>4</c:v>
                </c:pt>
                <c:pt idx="51">
                  <c:v>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</c:v>
                </c:pt>
                <c:pt idx="56">
                  <c:v>0</c:v>
                </c:pt>
                <c:pt idx="57">
                  <c:v>7</c:v>
                </c:pt>
                <c:pt idx="58">
                  <c:v>8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2</c:v>
                </c:pt>
                <c:pt idx="63">
                  <c:v>0</c:v>
                </c:pt>
                <c:pt idx="64">
                  <c:v>9</c:v>
                </c:pt>
                <c:pt idx="65">
                  <c:v>0</c:v>
                </c:pt>
                <c:pt idx="66">
                  <c:v>4</c:v>
                </c:pt>
                <c:pt idx="67">
                  <c:v>3</c:v>
                </c:pt>
                <c:pt idx="68">
                  <c:v>0</c:v>
                </c:pt>
                <c:pt idx="69">
                  <c:v>3</c:v>
                </c:pt>
                <c:pt idx="70">
                  <c:v>2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"8-2"</c:f>
              <c:strCache>
                <c:ptCount val="1"/>
                <c:pt idx="0">
                  <c:v>8-2</c:v>
                </c:pt>
              </c:strCache>
            </c:strRef>
          </c:tx>
          <c:spPr>
            <a:solidFill>
              <a:srgbClr val="01b8aa"/>
            </a:solidFill>
            <a:ln w="19080">
              <a:solidFill>
                <a:srgbClr val="01b8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日ごとの稼働時間!$I$4:$I$80</c:f>
              <c:numCache>
                <c:formatCode>0.0</c:formatCode>
                <c:ptCount val="77"/>
                <c:pt idx="1">
                  <c:v>9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31">
                  <c:v>1</c:v>
                </c:pt>
                <c:pt idx="32">
                  <c:v>3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8</c:v>
                </c:pt>
                <c:pt idx="37">
                  <c:v>8</c:v>
                </c:pt>
                <c:pt idx="38">
                  <c:v>5</c:v>
                </c:pt>
                <c:pt idx="39">
                  <c:v>0</c:v>
                </c:pt>
                <c:pt idx="40">
                  <c:v>7</c:v>
                </c:pt>
                <c:pt idx="41">
                  <c:v>9</c:v>
                </c:pt>
                <c:pt idx="42">
                  <c:v>7</c:v>
                </c:pt>
                <c:pt idx="43">
                  <c:v>3</c:v>
                </c:pt>
                <c:pt idx="44">
                  <c:v>1</c:v>
                </c:pt>
                <c:pt idx="45">
                  <c:v>0</c:v>
                </c:pt>
                <c:pt idx="46">
                  <c:v>3</c:v>
                </c:pt>
                <c:pt idx="47">
                  <c:v>8</c:v>
                </c:pt>
                <c:pt idx="48">
                  <c:v>9</c:v>
                </c:pt>
                <c:pt idx="49">
                  <c:v>0</c:v>
                </c:pt>
                <c:pt idx="50">
                  <c:v>8</c:v>
                </c:pt>
                <c:pt idx="51">
                  <c:v>9</c:v>
                </c:pt>
                <c:pt idx="52">
                  <c:v>2</c:v>
                </c:pt>
                <c:pt idx="53">
                  <c:v>0</c:v>
                </c:pt>
                <c:pt idx="54">
                  <c:v>0</c:v>
                </c:pt>
                <c:pt idx="55">
                  <c:v>5</c:v>
                </c:pt>
                <c:pt idx="56">
                  <c:v>0</c:v>
                </c:pt>
                <c:pt idx="57">
                  <c:v>9</c:v>
                </c:pt>
                <c:pt idx="58">
                  <c:v>7</c:v>
                </c:pt>
                <c:pt idx="59">
                  <c:v>0</c:v>
                </c:pt>
                <c:pt idx="60">
                  <c:v>1</c:v>
                </c:pt>
                <c:pt idx="61">
                  <c:v>6</c:v>
                </c:pt>
                <c:pt idx="62">
                  <c:v>3</c:v>
                </c:pt>
                <c:pt idx="63">
                  <c:v>1</c:v>
                </c:pt>
                <c:pt idx="64">
                  <c:v>9</c:v>
                </c:pt>
                <c:pt idx="65">
                  <c:v>3</c:v>
                </c:pt>
                <c:pt idx="66">
                  <c:v>3</c:v>
                </c:pt>
                <c:pt idx="67">
                  <c:v>1</c:v>
                </c:pt>
                <c:pt idx="68">
                  <c:v>2</c:v>
                </c:pt>
                <c:pt idx="69">
                  <c:v>8</c:v>
                </c:pt>
                <c:pt idx="70">
                  <c:v>5</c:v>
                </c:pt>
                <c:pt idx="71">
                  <c:v>7</c:v>
                </c:pt>
                <c:pt idx="72">
                  <c:v>7</c:v>
                </c:pt>
                <c:pt idx="73">
                  <c:v>6</c:v>
                </c:pt>
                <c:pt idx="74">
                  <c:v>6</c:v>
                </c:pt>
                <c:pt idx="75">
                  <c:v>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"8-3"</c:f>
              <c:strCache>
                <c:ptCount val="1"/>
                <c:pt idx="0">
                  <c:v>8-3</c:v>
                </c:pt>
              </c:strCache>
            </c:strRef>
          </c:tx>
          <c:spPr>
            <a:solidFill>
              <a:srgbClr val="7fd8ce"/>
            </a:solidFill>
            <a:ln w="19080">
              <a:solidFill>
                <a:srgbClr val="7fd8c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日ごとの稼働時間!$J$4:$J$80</c:f>
              <c:numCache>
                <c:formatCode>0.0</c:formatCode>
                <c:ptCount val="77"/>
                <c:pt idx="1">
                  <c:v>8</c:v>
                </c:pt>
                <c:pt idx="2">
                  <c:v>8</c:v>
                </c:pt>
                <c:pt idx="3">
                  <c:v>4</c:v>
                </c:pt>
                <c:pt idx="4">
                  <c:v>0</c:v>
                </c:pt>
                <c:pt idx="5">
                  <c:v>8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4</c:v>
                </c:pt>
                <c:pt idx="11">
                  <c:v>0</c:v>
                </c:pt>
                <c:pt idx="12">
                  <c:v>7</c:v>
                </c:pt>
                <c:pt idx="13">
                  <c:v>2</c:v>
                </c:pt>
                <c:pt idx="14">
                  <c:v>7</c:v>
                </c:pt>
                <c:pt idx="15">
                  <c:v>8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7</c:v>
                </c:pt>
                <c:pt idx="20">
                  <c:v>9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2</c:v>
                </c:pt>
                <c:pt idx="25">
                  <c:v>3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7</c:v>
                </c:pt>
                <c:pt idx="31">
                  <c:v>4</c:v>
                </c:pt>
                <c:pt idx="32">
                  <c:v>3</c:v>
                </c:pt>
                <c:pt idx="33">
                  <c:v>6</c:v>
                </c:pt>
                <c:pt idx="34">
                  <c:v>8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5</c:v>
                </c:pt>
                <c:pt idx="39">
                  <c:v>0</c:v>
                </c:pt>
                <c:pt idx="40">
                  <c:v>6</c:v>
                </c:pt>
                <c:pt idx="41">
                  <c:v>7</c:v>
                </c:pt>
                <c:pt idx="42">
                  <c:v>6</c:v>
                </c:pt>
                <c:pt idx="43">
                  <c:v>9</c:v>
                </c:pt>
                <c:pt idx="44">
                  <c:v>9</c:v>
                </c:pt>
                <c:pt idx="45">
                  <c:v>3</c:v>
                </c:pt>
                <c:pt idx="46">
                  <c:v>1</c:v>
                </c:pt>
                <c:pt idx="47">
                  <c:v>5</c:v>
                </c:pt>
                <c:pt idx="48">
                  <c:v>6</c:v>
                </c:pt>
                <c:pt idx="49">
                  <c:v>7</c:v>
                </c:pt>
                <c:pt idx="50">
                  <c:v>7</c:v>
                </c:pt>
                <c:pt idx="51">
                  <c:v>8</c:v>
                </c:pt>
                <c:pt idx="52">
                  <c:v>4</c:v>
                </c:pt>
                <c:pt idx="53">
                  <c:v>0</c:v>
                </c:pt>
                <c:pt idx="54">
                  <c:v>0</c:v>
                </c:pt>
                <c:pt idx="55">
                  <c:v>4</c:v>
                </c:pt>
                <c:pt idx="56">
                  <c:v>1</c:v>
                </c:pt>
                <c:pt idx="57">
                  <c:v>9</c:v>
                </c:pt>
                <c:pt idx="58">
                  <c:v>9</c:v>
                </c:pt>
                <c:pt idx="59">
                  <c:v>2</c:v>
                </c:pt>
                <c:pt idx="60">
                  <c:v>1</c:v>
                </c:pt>
                <c:pt idx="61">
                  <c:v>5</c:v>
                </c:pt>
                <c:pt idx="62">
                  <c:v>0</c:v>
                </c:pt>
                <c:pt idx="63">
                  <c:v>8</c:v>
                </c:pt>
                <c:pt idx="64">
                  <c:v>8</c:v>
                </c:pt>
                <c:pt idx="65">
                  <c:v>4</c:v>
                </c:pt>
                <c:pt idx="66">
                  <c:v>3</c:v>
                </c:pt>
                <c:pt idx="67">
                  <c:v>6</c:v>
                </c:pt>
                <c:pt idx="68">
                  <c:v>4</c:v>
                </c:pt>
                <c:pt idx="69">
                  <c:v>7</c:v>
                </c:pt>
                <c:pt idx="70">
                  <c:v>6</c:v>
                </c:pt>
                <c:pt idx="71">
                  <c:v>6</c:v>
                </c:pt>
                <c:pt idx="72">
                  <c:v>7</c:v>
                </c:pt>
                <c:pt idx="73">
                  <c:v>6</c:v>
                </c:pt>
                <c:pt idx="74">
                  <c:v>3</c:v>
                </c:pt>
                <c:pt idx="75">
                  <c:v>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562386"/>
        <c:axId val="80925745"/>
      </c:lineChart>
      <c:catAx>
        <c:axId val="735623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25745"/>
        <c:crosses val="autoZero"/>
        <c:auto val="1"/>
        <c:lblAlgn val="ctr"/>
        <c:lblOffset val="100"/>
        <c:noMultiLvlLbl val="0"/>
      </c:catAx>
      <c:valAx>
        <c:axId val="80925745"/>
        <c:scaling>
          <c:orientation val="minMax"/>
          <c:max val="9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時間（9時間中）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62386"/>
        <c:crosses val="autoZero"/>
        <c:crossBetween val="between"/>
        <c:majorUnit val="3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列11：室外機ごとの日中の稼働時間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"土日祝"</c:f>
              <c:strCache>
                <c:ptCount val="1"/>
                <c:pt idx="0">
                  <c:v>土日祝</c:v>
                </c:pt>
              </c:strCache>
            </c:strRef>
          </c:tx>
          <c:spPr>
            <a:solidFill>
              <a:srgbClr val="e9ecf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日ごとの稼働時間!$Q$4:$Q$80</c:f>
              <c:numCache>
                <c:formatCode>General</c:formatCode>
                <c:ptCount val="77"/>
                <c:pt idx="3">
                  <c:v>9</c:v>
                </c:pt>
                <c:pt idx="4">
                  <c:v>9</c:v>
                </c:pt>
                <c:pt idx="10">
                  <c:v>9</c:v>
                </c:pt>
                <c:pt idx="11">
                  <c:v>9</c:v>
                </c:pt>
                <c:pt idx="13">
                  <c:v>9</c:v>
                </c:pt>
                <c:pt idx="17">
                  <c:v>9</c:v>
                </c:pt>
                <c:pt idx="18">
                  <c:v>9</c:v>
                </c:pt>
                <c:pt idx="24">
                  <c:v>9</c:v>
                </c:pt>
                <c:pt idx="25">
                  <c:v>9</c:v>
                </c:pt>
                <c:pt idx="31">
                  <c:v>9</c:v>
                </c:pt>
                <c:pt idx="32">
                  <c:v>9</c:v>
                </c:pt>
                <c:pt idx="38">
                  <c:v>9</c:v>
                </c:pt>
                <c:pt idx="39">
                  <c:v>9</c:v>
                </c:pt>
                <c:pt idx="45">
                  <c:v>9</c:v>
                </c:pt>
                <c:pt idx="46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9">
                  <c:v>9</c:v>
                </c:pt>
                <c:pt idx="60">
                  <c:v>9</c:v>
                </c:pt>
                <c:pt idx="66">
                  <c:v>9</c:v>
                </c:pt>
                <c:pt idx="67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</c:numCache>
            </c:numRef>
          </c:val>
        </c:ser>
        <c:gapWidth val="0"/>
        <c:overlap val="0"/>
        <c:axId val="52450792"/>
        <c:axId val="19087875"/>
      </c:barChart>
      <c:lineChart>
        <c:grouping val="standard"/>
        <c:varyColors val="0"/>
        <c:ser>
          <c:idx val="1"/>
          <c:order val="1"/>
          <c:tx>
            <c:strRef>
              <c:f>"11-1"</c:f>
              <c:strCache>
                <c:ptCount val="1"/>
                <c:pt idx="0">
                  <c:v>11-1</c:v>
                </c:pt>
              </c:strCache>
            </c:strRef>
          </c:tx>
          <c:spPr>
            <a:solidFill>
              <a:srgbClr val="0b5cad"/>
            </a:solidFill>
            <a:ln w="19080">
              <a:solidFill>
                <a:srgbClr val="0b5ca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日ごとの稼働時間!$K$4:$K$80</c:f>
              <c:numCache>
                <c:formatCode>0.0</c:formatCode>
                <c:ptCount val="77"/>
                <c:pt idx="1">
                  <c:v>8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1</c:v>
                </c:pt>
                <c:pt idx="12">
                  <c:v>8</c:v>
                </c:pt>
                <c:pt idx="13">
                  <c:v>3</c:v>
                </c:pt>
                <c:pt idx="14">
                  <c:v>6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9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5</c:v>
                </c:pt>
                <c:pt idx="25">
                  <c:v>3</c:v>
                </c:pt>
                <c:pt idx="26">
                  <c:v>9</c:v>
                </c:pt>
                <c:pt idx="27">
                  <c:v>9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1</c:v>
                </c:pt>
                <c:pt idx="32">
                  <c:v>5</c:v>
                </c:pt>
                <c:pt idx="33">
                  <c:v>4</c:v>
                </c:pt>
                <c:pt idx="34">
                  <c:v>4</c:v>
                </c:pt>
                <c:pt idx="35">
                  <c:v>7</c:v>
                </c:pt>
                <c:pt idx="36">
                  <c:v>5</c:v>
                </c:pt>
                <c:pt idx="37">
                  <c:v>3</c:v>
                </c:pt>
                <c:pt idx="38">
                  <c:v>5</c:v>
                </c:pt>
                <c:pt idx="39">
                  <c:v>0</c:v>
                </c:pt>
                <c:pt idx="40">
                  <c:v>3</c:v>
                </c:pt>
                <c:pt idx="41">
                  <c:v>7</c:v>
                </c:pt>
                <c:pt idx="42">
                  <c:v>3</c:v>
                </c:pt>
                <c:pt idx="43">
                  <c:v>4</c:v>
                </c:pt>
                <c:pt idx="44">
                  <c:v>3</c:v>
                </c:pt>
                <c:pt idx="45">
                  <c:v>5</c:v>
                </c:pt>
                <c:pt idx="46">
                  <c:v>8</c:v>
                </c:pt>
                <c:pt idx="47">
                  <c:v>6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6</c:v>
                </c:pt>
                <c:pt idx="69">
                  <c:v>5</c:v>
                </c:pt>
                <c:pt idx="70">
                  <c:v>4</c:v>
                </c:pt>
                <c:pt idx="71">
                  <c:v>8</c:v>
                </c:pt>
                <c:pt idx="72">
                  <c:v>5</c:v>
                </c:pt>
                <c:pt idx="73">
                  <c:v>6</c:v>
                </c:pt>
                <c:pt idx="74">
                  <c:v>7</c:v>
                </c:pt>
                <c:pt idx="75">
                  <c:v>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"11-2"</c:f>
              <c:strCache>
                <c:ptCount val="1"/>
                <c:pt idx="0">
                  <c:v>11-2</c:v>
                </c:pt>
              </c:strCache>
            </c:strRef>
          </c:tx>
          <c:spPr>
            <a:solidFill>
              <a:srgbClr val="118dff"/>
            </a:solidFill>
            <a:ln w="19080">
              <a:solidFill>
                <a:srgbClr val="118d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日ごとの稼働時間!$L$4:$L$80</c:f>
              <c:numCache>
                <c:formatCode>0.0</c:formatCode>
                <c:ptCount val="77"/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7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2</c:v>
                </c:pt>
                <c:pt idx="14">
                  <c:v>9</c:v>
                </c:pt>
                <c:pt idx="15">
                  <c:v>6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8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3</c:v>
                </c:pt>
                <c:pt idx="25">
                  <c:v>3</c:v>
                </c:pt>
                <c:pt idx="26">
                  <c:v>8</c:v>
                </c:pt>
                <c:pt idx="27">
                  <c:v>9</c:v>
                </c:pt>
                <c:pt idx="28">
                  <c:v>9</c:v>
                </c:pt>
                <c:pt idx="29">
                  <c:v>7</c:v>
                </c:pt>
                <c:pt idx="30">
                  <c:v>9</c:v>
                </c:pt>
                <c:pt idx="31">
                  <c:v>0</c:v>
                </c:pt>
                <c:pt idx="32">
                  <c:v>3</c:v>
                </c:pt>
                <c:pt idx="33">
                  <c:v>8</c:v>
                </c:pt>
                <c:pt idx="34">
                  <c:v>8</c:v>
                </c:pt>
                <c:pt idx="35">
                  <c:v>7</c:v>
                </c:pt>
                <c:pt idx="36">
                  <c:v>8</c:v>
                </c:pt>
                <c:pt idx="37">
                  <c:v>6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6</c:v>
                </c:pt>
                <c:pt idx="42">
                  <c:v>5</c:v>
                </c:pt>
                <c:pt idx="43">
                  <c:v>8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8</c:v>
                </c:pt>
                <c:pt idx="65">
                  <c:v>2</c:v>
                </c:pt>
                <c:pt idx="66">
                  <c:v>4</c:v>
                </c:pt>
                <c:pt idx="67">
                  <c:v>5</c:v>
                </c:pt>
                <c:pt idx="68">
                  <c:v>7</c:v>
                </c:pt>
                <c:pt idx="69">
                  <c:v>9</c:v>
                </c:pt>
                <c:pt idx="70">
                  <c:v>7</c:v>
                </c:pt>
                <c:pt idx="71">
                  <c:v>9</c:v>
                </c:pt>
                <c:pt idx="72">
                  <c:v>8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"11-3"</c:f>
              <c:strCache>
                <c:ptCount val="1"/>
                <c:pt idx="0">
                  <c:v>11-3</c:v>
                </c:pt>
              </c:strCache>
            </c:strRef>
          </c:tx>
          <c:spPr>
            <a:solidFill>
              <a:srgbClr val="8cc4ff"/>
            </a:solidFill>
            <a:ln w="19080">
              <a:solidFill>
                <a:srgbClr val="8cc4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日ごとの稼働時間!$B$4:$B$80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日ごとの稼働時間!$M$4:$M$80</c:f>
              <c:numCache>
                <c:formatCode>0.0</c:formatCode>
                <c:ptCount val="77"/>
                <c:pt idx="1">
                  <c:v>8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6</c:v>
                </c:pt>
                <c:pt idx="12">
                  <c:v>8</c:v>
                </c:pt>
                <c:pt idx="13">
                  <c:v>6</c:v>
                </c:pt>
                <c:pt idx="14">
                  <c:v>8</c:v>
                </c:pt>
                <c:pt idx="15">
                  <c:v>8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5</c:v>
                </c:pt>
                <c:pt idx="20">
                  <c:v>9</c:v>
                </c:pt>
                <c:pt idx="21">
                  <c:v>8</c:v>
                </c:pt>
                <c:pt idx="22">
                  <c:v>7</c:v>
                </c:pt>
                <c:pt idx="23">
                  <c:v>9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  <c:pt idx="29">
                  <c:v>8</c:v>
                </c:pt>
                <c:pt idx="30">
                  <c:v>9</c:v>
                </c:pt>
                <c:pt idx="31">
                  <c:v>8</c:v>
                </c:pt>
                <c:pt idx="32">
                  <c:v>7</c:v>
                </c:pt>
                <c:pt idx="33">
                  <c:v>6</c:v>
                </c:pt>
                <c:pt idx="34">
                  <c:v>7</c:v>
                </c:pt>
                <c:pt idx="35">
                  <c:v>7</c:v>
                </c:pt>
                <c:pt idx="36">
                  <c:v>9</c:v>
                </c:pt>
                <c:pt idx="37">
                  <c:v>8</c:v>
                </c:pt>
                <c:pt idx="38">
                  <c:v>9</c:v>
                </c:pt>
                <c:pt idx="39">
                  <c:v>6</c:v>
                </c:pt>
                <c:pt idx="40">
                  <c:v>8</c:v>
                </c:pt>
                <c:pt idx="41">
                  <c:v>7</c:v>
                </c:pt>
                <c:pt idx="42">
                  <c:v>5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4</c:v>
                </c:pt>
                <c:pt idx="47">
                  <c:v>5</c:v>
                </c:pt>
                <c:pt idx="65">
                  <c:v>2</c:v>
                </c:pt>
                <c:pt idx="66">
                  <c:v>6</c:v>
                </c:pt>
                <c:pt idx="67">
                  <c:v>4</c:v>
                </c:pt>
                <c:pt idx="68">
                  <c:v>3</c:v>
                </c:pt>
                <c:pt idx="69">
                  <c:v>6</c:v>
                </c:pt>
                <c:pt idx="70">
                  <c:v>7</c:v>
                </c:pt>
                <c:pt idx="71">
                  <c:v>8</c:v>
                </c:pt>
                <c:pt idx="72">
                  <c:v>7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450792"/>
        <c:axId val="19087875"/>
      </c:lineChart>
      <c:catAx>
        <c:axId val="5245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87875"/>
        <c:crosses val="autoZero"/>
        <c:auto val="1"/>
        <c:lblAlgn val="ctr"/>
        <c:lblOffset val="100"/>
        <c:noMultiLvlLbl val="0"/>
      </c:catAx>
      <c:valAx>
        <c:axId val="19087875"/>
        <c:scaling>
          <c:orientation val="minMax"/>
          <c:max val="9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時間（9時間中）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50792"/>
        <c:crosses val="autoZero"/>
        <c:crossBetween val="between"/>
        <c:majorUnit val="3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研究に使える時間（平日、3組の平均）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"土日祝"</c:f>
              <c:strCache>
                <c:ptCount val="1"/>
                <c:pt idx="0">
                  <c:v>土日祝</c:v>
                </c:pt>
              </c:strCache>
            </c:strRef>
          </c:tx>
          <c:spPr>
            <a:solidFill>
              <a:srgbClr val="e9ecf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研究に使える時間!$B$4:$B$80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研究に使える時間!$M$4:$M$80</c:f>
              <c:numCache>
                <c:formatCode>General</c:formatCode>
                <c:ptCount val="77"/>
                <c:pt idx="3">
                  <c:v>9</c:v>
                </c:pt>
                <c:pt idx="4">
                  <c:v>9</c:v>
                </c:pt>
                <c:pt idx="10">
                  <c:v>9</c:v>
                </c:pt>
                <c:pt idx="11">
                  <c:v>9</c:v>
                </c:pt>
                <c:pt idx="13">
                  <c:v>9</c:v>
                </c:pt>
                <c:pt idx="17">
                  <c:v>9</c:v>
                </c:pt>
                <c:pt idx="18">
                  <c:v>9</c:v>
                </c:pt>
                <c:pt idx="24">
                  <c:v>9</c:v>
                </c:pt>
                <c:pt idx="25">
                  <c:v>9</c:v>
                </c:pt>
                <c:pt idx="31">
                  <c:v>9</c:v>
                </c:pt>
                <c:pt idx="32">
                  <c:v>9</c:v>
                </c:pt>
                <c:pt idx="38">
                  <c:v>9</c:v>
                </c:pt>
                <c:pt idx="39">
                  <c:v>9</c:v>
                </c:pt>
                <c:pt idx="45">
                  <c:v>9</c:v>
                </c:pt>
                <c:pt idx="46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9">
                  <c:v>9</c:v>
                </c:pt>
                <c:pt idx="60">
                  <c:v>9</c:v>
                </c:pt>
                <c:pt idx="66">
                  <c:v>9</c:v>
                </c:pt>
                <c:pt idx="67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</c:numCache>
            </c:numRef>
          </c:val>
        </c:ser>
        <c:gapWidth val="0"/>
        <c:overlap val="0"/>
        <c:axId val="37641186"/>
        <c:axId val="56240769"/>
      </c:barChart>
      <c:lineChart>
        <c:grouping val="standard"/>
        <c:varyColors val="0"/>
        <c:ser>
          <c:idx val="1"/>
          <c:order val="1"/>
          <c:tx>
            <c:strRef>
              <c:f>"列8"</c:f>
              <c:strCache>
                <c:ptCount val="1"/>
                <c:pt idx="0">
                  <c:v>列8</c:v>
                </c:pt>
              </c:strCache>
            </c:strRef>
          </c:tx>
          <c:spPr>
            <a:solidFill>
              <a:srgbClr val="01b8aa"/>
            </a:solidFill>
            <a:ln w="19080">
              <a:solidFill>
                <a:srgbClr val="01b8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研究に使える時間!$B$4:$B$80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研究に使える時間!$K$4:$K$80</c:f>
              <c:numCache>
                <c:formatCode>0.0</c:formatCode>
                <c:ptCount val="77"/>
                <c:pt idx="1">
                  <c:v>8.33</c:v>
                </c:pt>
                <c:pt idx="2">
                  <c:v>7.33</c:v>
                </c:pt>
                <c:pt idx="5">
                  <c:v>8</c:v>
                </c:pt>
                <c:pt idx="6">
                  <c:v>6.67</c:v>
                </c:pt>
                <c:pt idx="7">
                  <c:v>5.33</c:v>
                </c:pt>
                <c:pt idx="8">
                  <c:v>8</c:v>
                </c:pt>
                <c:pt idx="9">
                  <c:v>8.33</c:v>
                </c:pt>
                <c:pt idx="12">
                  <c:v>4.67</c:v>
                </c:pt>
                <c:pt idx="14">
                  <c:v>5</c:v>
                </c:pt>
                <c:pt idx="15">
                  <c:v>3.67</c:v>
                </c:pt>
                <c:pt idx="16">
                  <c:v>3.5</c:v>
                </c:pt>
                <c:pt idx="19">
                  <c:v>6.5</c:v>
                </c:pt>
                <c:pt idx="20">
                  <c:v>8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6">
                  <c:v>8</c:v>
                </c:pt>
                <c:pt idx="27">
                  <c:v>8.5</c:v>
                </c:pt>
                <c:pt idx="28">
                  <c:v>8.5</c:v>
                </c:pt>
                <c:pt idx="29">
                  <c:v>7</c:v>
                </c:pt>
                <c:pt idx="30">
                  <c:v>6</c:v>
                </c:pt>
                <c:pt idx="33">
                  <c:v>4.5</c:v>
                </c:pt>
                <c:pt idx="34">
                  <c:v>5.5</c:v>
                </c:pt>
                <c:pt idx="35">
                  <c:v>6.5</c:v>
                </c:pt>
                <c:pt idx="36">
                  <c:v>5.5</c:v>
                </c:pt>
                <c:pt idx="37">
                  <c:v>3.5</c:v>
                </c:pt>
                <c:pt idx="40">
                  <c:v>2.5</c:v>
                </c:pt>
                <c:pt idx="41">
                  <c:v>7.33</c:v>
                </c:pt>
                <c:pt idx="42">
                  <c:v>6</c:v>
                </c:pt>
                <c:pt idx="43">
                  <c:v>2</c:v>
                </c:pt>
                <c:pt idx="44">
                  <c:v>1.67</c:v>
                </c:pt>
                <c:pt idx="47">
                  <c:v>6.33</c:v>
                </c:pt>
                <c:pt idx="48">
                  <c:v>6</c:v>
                </c:pt>
                <c:pt idx="49">
                  <c:v>0</c:v>
                </c:pt>
                <c:pt idx="50">
                  <c:v>3.5</c:v>
                </c:pt>
                <c:pt idx="51">
                  <c:v>3.5</c:v>
                </c:pt>
                <c:pt idx="57">
                  <c:v>7.67</c:v>
                </c:pt>
                <c:pt idx="58">
                  <c:v>7.67</c:v>
                </c:pt>
                <c:pt idx="61">
                  <c:v>3.33</c:v>
                </c:pt>
                <c:pt idx="62">
                  <c:v>0.33</c:v>
                </c:pt>
                <c:pt idx="63">
                  <c:v>0</c:v>
                </c:pt>
                <c:pt idx="64">
                  <c:v>7</c:v>
                </c:pt>
                <c:pt idx="65">
                  <c:v>1</c:v>
                </c:pt>
                <c:pt idx="68">
                  <c:v>1</c:v>
                </c:pt>
                <c:pt idx="69">
                  <c:v>4.33</c:v>
                </c:pt>
                <c:pt idx="70">
                  <c:v>1.67</c:v>
                </c:pt>
                <c:pt idx="71">
                  <c:v>4.33</c:v>
                </c:pt>
                <c:pt idx="72">
                  <c:v>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"列11"</c:f>
              <c:strCache>
                <c:ptCount val="1"/>
                <c:pt idx="0">
                  <c:v>列11</c:v>
                </c:pt>
              </c:strCache>
            </c:strRef>
          </c:tx>
          <c:spPr>
            <a:solidFill>
              <a:srgbClr val="118dff"/>
            </a:solidFill>
            <a:ln w="19080">
              <a:solidFill>
                <a:srgbClr val="118d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研究に使える時間!$B$4:$B$80</c:f>
              <c:strCache>
                <c:ptCount val="77"/>
                <c:pt idx="0">
                  <c:v>7/29</c:v>
                </c:pt>
                <c:pt idx="1">
                  <c:v>7/30</c:v>
                </c:pt>
                <c:pt idx="2">
                  <c:v>7/31</c:v>
                </c:pt>
                <c:pt idx="3">
                  <c:v>8/1</c:v>
                </c:pt>
                <c:pt idx="4">
                  <c:v>8/2</c:v>
                </c:pt>
                <c:pt idx="5">
                  <c:v>8/3</c:v>
                </c:pt>
                <c:pt idx="6">
                  <c:v>8/4</c:v>
                </c:pt>
                <c:pt idx="7">
                  <c:v>8/5</c:v>
                </c:pt>
                <c:pt idx="8">
                  <c:v>8/6</c:v>
                </c:pt>
                <c:pt idx="9">
                  <c:v>8/7</c:v>
                </c:pt>
                <c:pt idx="10">
                  <c:v>8/8</c:v>
                </c:pt>
                <c:pt idx="11">
                  <c:v>8/9</c:v>
                </c:pt>
                <c:pt idx="12">
                  <c:v>8/10</c:v>
                </c:pt>
                <c:pt idx="13">
                  <c:v>8/11</c:v>
                </c:pt>
                <c:pt idx="14">
                  <c:v>8/12</c:v>
                </c:pt>
                <c:pt idx="15">
                  <c:v>8/13</c:v>
                </c:pt>
                <c:pt idx="16">
                  <c:v>8/14</c:v>
                </c:pt>
                <c:pt idx="17">
                  <c:v>8/15</c:v>
                </c:pt>
                <c:pt idx="18">
                  <c:v>8/16</c:v>
                </c:pt>
                <c:pt idx="19">
                  <c:v>8/17</c:v>
                </c:pt>
                <c:pt idx="20">
                  <c:v>8/18</c:v>
                </c:pt>
                <c:pt idx="21">
                  <c:v>8/19</c:v>
                </c:pt>
                <c:pt idx="22">
                  <c:v>8/20</c:v>
                </c:pt>
                <c:pt idx="23">
                  <c:v>8/21</c:v>
                </c:pt>
                <c:pt idx="24">
                  <c:v>8/22</c:v>
                </c:pt>
                <c:pt idx="25">
                  <c:v>8/23</c:v>
                </c:pt>
                <c:pt idx="26">
                  <c:v>8/24</c:v>
                </c:pt>
                <c:pt idx="27">
                  <c:v>8/25</c:v>
                </c:pt>
                <c:pt idx="28">
                  <c:v>8/26</c:v>
                </c:pt>
                <c:pt idx="29">
                  <c:v>8/27</c:v>
                </c:pt>
                <c:pt idx="30">
                  <c:v>8/28</c:v>
                </c:pt>
                <c:pt idx="31">
                  <c:v>8/29</c:v>
                </c:pt>
                <c:pt idx="32">
                  <c:v>8/30</c:v>
                </c:pt>
                <c:pt idx="33">
                  <c:v>8/31</c:v>
                </c:pt>
                <c:pt idx="34">
                  <c:v>9/1</c:v>
                </c:pt>
                <c:pt idx="35">
                  <c:v>9/2</c:v>
                </c:pt>
                <c:pt idx="36">
                  <c:v>9/3</c:v>
                </c:pt>
                <c:pt idx="37">
                  <c:v>9/4</c:v>
                </c:pt>
                <c:pt idx="38">
                  <c:v>9/5</c:v>
                </c:pt>
                <c:pt idx="39">
                  <c:v>9/6</c:v>
                </c:pt>
                <c:pt idx="40">
                  <c:v>9/7</c:v>
                </c:pt>
                <c:pt idx="41">
                  <c:v>9/8</c:v>
                </c:pt>
                <c:pt idx="42">
                  <c:v>9/9</c:v>
                </c:pt>
                <c:pt idx="43">
                  <c:v>9/10</c:v>
                </c:pt>
                <c:pt idx="44">
                  <c:v>9/11</c:v>
                </c:pt>
                <c:pt idx="45">
                  <c:v>9/12</c:v>
                </c:pt>
                <c:pt idx="46">
                  <c:v>9/13</c:v>
                </c:pt>
                <c:pt idx="47">
                  <c:v>9/14</c:v>
                </c:pt>
                <c:pt idx="48">
                  <c:v>9/15</c:v>
                </c:pt>
                <c:pt idx="49">
                  <c:v>9/16</c:v>
                </c:pt>
                <c:pt idx="50">
                  <c:v>9/17</c:v>
                </c:pt>
                <c:pt idx="51">
                  <c:v>9/18</c:v>
                </c:pt>
                <c:pt idx="52">
                  <c:v>9/19</c:v>
                </c:pt>
                <c:pt idx="53">
                  <c:v>9/20</c:v>
                </c:pt>
                <c:pt idx="54">
                  <c:v>9/21</c:v>
                </c:pt>
                <c:pt idx="55">
                  <c:v>9/22</c:v>
                </c:pt>
                <c:pt idx="56">
                  <c:v>9/23</c:v>
                </c:pt>
                <c:pt idx="57">
                  <c:v>9/24</c:v>
                </c:pt>
                <c:pt idx="58">
                  <c:v>9/25</c:v>
                </c:pt>
                <c:pt idx="59">
                  <c:v>9/26</c:v>
                </c:pt>
                <c:pt idx="60">
                  <c:v>9/27</c:v>
                </c:pt>
                <c:pt idx="61">
                  <c:v>9/28</c:v>
                </c:pt>
                <c:pt idx="62">
                  <c:v>9/29</c:v>
                </c:pt>
                <c:pt idx="63">
                  <c:v>9/30</c:v>
                </c:pt>
                <c:pt idx="64">
                  <c:v>10/1</c:v>
                </c:pt>
                <c:pt idx="65">
                  <c:v>10/2</c:v>
                </c:pt>
                <c:pt idx="66">
                  <c:v>10/3</c:v>
                </c:pt>
                <c:pt idx="67">
                  <c:v>10/4</c:v>
                </c:pt>
                <c:pt idx="68">
                  <c:v>10/5</c:v>
                </c:pt>
                <c:pt idx="69">
                  <c:v>10/6</c:v>
                </c:pt>
                <c:pt idx="70">
                  <c:v>10/7</c:v>
                </c:pt>
                <c:pt idx="71">
                  <c:v>10/8</c:v>
                </c:pt>
                <c:pt idx="72">
                  <c:v>10/9</c:v>
                </c:pt>
                <c:pt idx="73">
                  <c:v>10/10</c:v>
                </c:pt>
                <c:pt idx="74">
                  <c:v>10/11</c:v>
                </c:pt>
                <c:pt idx="75">
                  <c:v>10/12</c:v>
                </c:pt>
                <c:pt idx="76">
                  <c:v>10/13</c:v>
                </c:pt>
              </c:strCache>
            </c:strRef>
          </c:cat>
          <c:val>
            <c:numRef>
              <c:f>研究に使える時間!$L$4:$L$80</c:f>
              <c:numCache>
                <c:formatCode>0.0</c:formatCode>
                <c:ptCount val="77"/>
                <c:pt idx="1">
                  <c:v>8</c:v>
                </c:pt>
                <c:pt idx="2">
                  <c:v>7.67</c:v>
                </c:pt>
                <c:pt idx="5">
                  <c:v>7</c:v>
                </c:pt>
                <c:pt idx="6">
                  <c:v>5.67</c:v>
                </c:pt>
                <c:pt idx="7">
                  <c:v>6.33</c:v>
                </c:pt>
                <c:pt idx="8">
                  <c:v>7.33</c:v>
                </c:pt>
                <c:pt idx="9">
                  <c:v>7.67</c:v>
                </c:pt>
                <c:pt idx="12">
                  <c:v>7.67</c:v>
                </c:pt>
                <c:pt idx="14">
                  <c:v>7.67</c:v>
                </c:pt>
                <c:pt idx="15">
                  <c:v>6</c:v>
                </c:pt>
                <c:pt idx="16">
                  <c:v>5.33</c:v>
                </c:pt>
                <c:pt idx="19">
                  <c:v>5.67</c:v>
                </c:pt>
                <c:pt idx="20">
                  <c:v>7.67</c:v>
                </c:pt>
                <c:pt idx="21">
                  <c:v>7.67</c:v>
                </c:pt>
                <c:pt idx="22">
                  <c:v>7.33</c:v>
                </c:pt>
                <c:pt idx="23">
                  <c:v>8</c:v>
                </c:pt>
                <c:pt idx="26">
                  <c:v>8.33</c:v>
                </c:pt>
                <c:pt idx="27">
                  <c:v>8.67</c:v>
                </c:pt>
                <c:pt idx="28">
                  <c:v>8.67</c:v>
                </c:pt>
                <c:pt idx="29">
                  <c:v>7.67</c:v>
                </c:pt>
                <c:pt idx="30">
                  <c:v>8.67</c:v>
                </c:pt>
                <c:pt idx="33">
                  <c:v>4.5</c:v>
                </c:pt>
                <c:pt idx="34">
                  <c:v>4.5</c:v>
                </c:pt>
                <c:pt idx="35">
                  <c:v>7</c:v>
                </c:pt>
                <c:pt idx="36">
                  <c:v>7</c:v>
                </c:pt>
                <c:pt idx="37">
                  <c:v>5</c:v>
                </c:pt>
                <c:pt idx="40">
                  <c:v>3.5</c:v>
                </c:pt>
                <c:pt idx="41">
                  <c:v>6.33</c:v>
                </c:pt>
                <c:pt idx="42">
                  <c:v>4</c:v>
                </c:pt>
                <c:pt idx="43">
                  <c:v>3</c:v>
                </c:pt>
                <c:pt idx="44">
                  <c:v>2</c:v>
                </c:pt>
                <c:pt idx="47">
                  <c:v>6.33</c:v>
                </c:pt>
                <c:pt idx="65">
                  <c:v>0.67</c:v>
                </c:pt>
                <c:pt idx="68">
                  <c:v>0.67</c:v>
                </c:pt>
                <c:pt idx="69">
                  <c:v>4.33</c:v>
                </c:pt>
                <c:pt idx="70">
                  <c:v>2</c:v>
                </c:pt>
                <c:pt idx="71">
                  <c:v>4.67</c:v>
                </c:pt>
                <c:pt idx="72">
                  <c:v>5.67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641186"/>
        <c:axId val="56240769"/>
      </c:lineChart>
      <c:catAx>
        <c:axId val="376411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40769"/>
        <c:crosses val="autoZero"/>
        <c:auto val="1"/>
        <c:lblAlgn val="ctr"/>
        <c:lblOffset val="100"/>
        <c:noMultiLvlLbl val="0"/>
      </c:catAx>
      <c:valAx>
        <c:axId val="56240769"/>
        <c:scaling>
          <c:orientation val="minMax"/>
          <c:max val="9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時間（9時間中）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41186"/>
        <c:crosses val="autoZero"/>
        <c:crossBetween val="between"/>
        <c:majorUnit val="3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14</xdr:col>
      <xdr:colOff>176040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0" y="38088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14</xdr:col>
      <xdr:colOff>176040</xdr:colOff>
      <xdr:row>30</xdr:row>
      <xdr:rowOff>64080</xdr:rowOff>
    </xdr:to>
    <xdr:graphicFrame>
      <xdr:nvGraphicFramePr>
        <xdr:cNvPr id="1" name="Chart 2"/>
        <xdr:cNvGraphicFramePr/>
      </xdr:nvGraphicFramePr>
      <xdr:xfrm>
        <a:off x="0" y="3619440"/>
        <a:ext cx="107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14</xdr:col>
      <xdr:colOff>176040</xdr:colOff>
      <xdr:row>43</xdr:row>
      <xdr:rowOff>64080</xdr:rowOff>
    </xdr:to>
    <xdr:graphicFrame>
      <xdr:nvGraphicFramePr>
        <xdr:cNvPr id="2" name="Chart 3"/>
        <xdr:cNvGraphicFramePr/>
      </xdr:nvGraphicFramePr>
      <xdr:xfrm>
        <a:off x="0" y="6095880"/>
        <a:ext cx="107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14</xdr:col>
      <xdr:colOff>176040</xdr:colOff>
      <xdr:row>56</xdr:row>
      <xdr:rowOff>64440</xdr:rowOff>
    </xdr:to>
    <xdr:graphicFrame>
      <xdr:nvGraphicFramePr>
        <xdr:cNvPr id="3" name="Chart 4"/>
        <xdr:cNvGraphicFramePr/>
      </xdr:nvGraphicFramePr>
      <xdr:xfrm>
        <a:off x="0" y="8572680"/>
        <a:ext cx="107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59</xdr:row>
      <xdr:rowOff>0</xdr:rowOff>
    </xdr:from>
    <xdr:to>
      <xdr:col>14</xdr:col>
      <xdr:colOff>176040</xdr:colOff>
      <xdr:row>74</xdr:row>
      <xdr:rowOff>22320</xdr:rowOff>
    </xdr:to>
    <xdr:graphicFrame>
      <xdr:nvGraphicFramePr>
        <xdr:cNvPr id="4" name="Chart 5"/>
        <xdr:cNvGraphicFramePr/>
      </xdr:nvGraphicFramePr>
      <xdr:xfrm>
        <a:off x="0" y="1123956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4.15" hidden="false" customHeight="false" outlineLevel="0" collapsed="false">
      <c r="A1" s="1" t="s">
        <v>0</v>
      </c>
    </row>
    <row r="2" customFormat="false" ht="13.4" hidden="false" customHeight="false" outlineLevel="0" collapsed="false">
      <c r="A2" s="2" t="s">
        <v>1</v>
      </c>
    </row>
    <row r="3" customFormat="false" ht="13.4" hidden="false" customHeight="false" outlineLevel="0" collapsed="false">
      <c r="A3" s="3" t="s">
        <v>2</v>
      </c>
    </row>
    <row r="4" customFormat="false" ht="13.4" hidden="false" customHeight="false" outlineLevel="0" collapsed="false">
      <c r="A4" s="3" t="s">
        <v>3</v>
      </c>
    </row>
    <row r="5" customFormat="false" ht="13.4" hidden="false" customHeight="false" outlineLevel="0" collapsed="false">
      <c r="A5" s="4" t="s">
        <v>4</v>
      </c>
    </row>
    <row r="6" customFormat="false" ht="13.4" hidden="false" customHeight="false" outlineLevel="0" collapsed="false">
      <c r="A6" s="4" t="s">
        <v>5</v>
      </c>
    </row>
    <row r="7" customFormat="false" ht="13.4" hidden="false" customHeight="false" outlineLevel="0" collapsed="false">
      <c r="A7" s="4" t="s">
        <v>6</v>
      </c>
    </row>
    <row r="8" customFormat="false" ht="13.4" hidden="false" customHeight="false" outlineLevel="0" collapsed="false">
      <c r="A8" s="2" t="s">
        <v>7</v>
      </c>
    </row>
    <row r="9" customFormat="false" ht="13.4" hidden="false" customHeight="false" outlineLevel="0" collapsed="false">
      <c r="A9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17" min="3" style="0" width="9"/>
  </cols>
  <sheetData>
    <row r="1" customFormat="false" ht="1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3" customFormat="false" ht="30" hidden="false" customHeight="true" outlineLevel="0" collapsed="false">
      <c r="A3" s="5" t="s">
        <v>11</v>
      </c>
      <c r="B3" s="5" t="s">
        <v>12</v>
      </c>
      <c r="C3" s="5" t="s">
        <v>13</v>
      </c>
      <c r="D3" s="5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22</v>
      </c>
      <c r="M3" s="6" t="s">
        <v>23</v>
      </c>
      <c r="N3" s="5" t="s">
        <v>24</v>
      </c>
      <c r="O3" s="5" t="s">
        <v>25</v>
      </c>
      <c r="P3" s="5" t="s">
        <v>26</v>
      </c>
      <c r="Q3" s="5" t="s">
        <v>27</v>
      </c>
    </row>
    <row r="4" customFormat="false" ht="15" hidden="false" customHeight="false" outlineLevel="0" collapsed="false">
      <c r="A4" s="7" t="n">
        <v>46232</v>
      </c>
      <c r="B4" s="8" t="s">
        <v>28</v>
      </c>
      <c r="C4" s="9" t="s">
        <v>29</v>
      </c>
      <c r="D4" s="9" t="s">
        <v>30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</row>
    <row r="5" customFormat="false" ht="15" hidden="false" customHeight="false" outlineLevel="0" collapsed="false">
      <c r="A5" s="7" t="n">
        <v>46233</v>
      </c>
      <c r="B5" s="8" t="s">
        <v>31</v>
      </c>
      <c r="C5" s="9" t="s">
        <v>32</v>
      </c>
      <c r="D5" s="9" t="s">
        <v>30</v>
      </c>
      <c r="E5" s="10" t="n">
        <v>9</v>
      </c>
      <c r="F5" s="10" t="n">
        <v>9</v>
      </c>
      <c r="G5" s="10" t="n">
        <v>9</v>
      </c>
      <c r="H5" s="10" t="n">
        <v>8</v>
      </c>
      <c r="I5" s="10" t="n">
        <v>9</v>
      </c>
      <c r="J5" s="10" t="n">
        <v>8</v>
      </c>
      <c r="K5" s="10" t="n">
        <v>8</v>
      </c>
      <c r="L5" s="10" t="n">
        <v>8</v>
      </c>
      <c r="M5" s="10" t="n">
        <v>8</v>
      </c>
      <c r="N5" s="10" t="n">
        <v>9</v>
      </c>
      <c r="O5" s="10" t="n">
        <v>8.33</v>
      </c>
      <c r="P5" s="10" t="n">
        <v>8</v>
      </c>
      <c r="Q5" s="8"/>
    </row>
    <row r="6" customFormat="false" ht="15" hidden="false" customHeight="false" outlineLevel="0" collapsed="false">
      <c r="A6" s="7" t="n">
        <v>46234</v>
      </c>
      <c r="B6" s="8" t="s">
        <v>33</v>
      </c>
      <c r="C6" s="9" t="s">
        <v>34</v>
      </c>
      <c r="D6" s="9" t="s">
        <v>30</v>
      </c>
      <c r="E6" s="10" t="n">
        <v>9</v>
      </c>
      <c r="F6" s="10" t="n">
        <v>9</v>
      </c>
      <c r="G6" s="10" t="n">
        <v>9</v>
      </c>
      <c r="H6" s="10" t="n">
        <v>6</v>
      </c>
      <c r="I6" s="10" t="n">
        <v>8</v>
      </c>
      <c r="J6" s="10" t="n">
        <v>8</v>
      </c>
      <c r="K6" s="10" t="n">
        <v>6</v>
      </c>
      <c r="L6" s="10" t="n">
        <v>8</v>
      </c>
      <c r="M6" s="10" t="n">
        <v>9</v>
      </c>
      <c r="N6" s="10" t="n">
        <v>9</v>
      </c>
      <c r="O6" s="10" t="n">
        <v>7.33</v>
      </c>
      <c r="P6" s="10" t="n">
        <v>7.67</v>
      </c>
      <c r="Q6" s="8"/>
    </row>
    <row r="7" customFormat="false" ht="15" hidden="false" customHeight="false" outlineLevel="0" collapsed="false">
      <c r="A7" s="11" t="n">
        <v>46235</v>
      </c>
      <c r="B7" s="12" t="s">
        <v>35</v>
      </c>
      <c r="C7" s="13" t="s">
        <v>36</v>
      </c>
      <c r="D7" s="13" t="s">
        <v>37</v>
      </c>
      <c r="E7" s="14" t="n">
        <v>9</v>
      </c>
      <c r="F7" s="14" t="n">
        <v>9</v>
      </c>
      <c r="G7" s="14" t="n">
        <v>9</v>
      </c>
      <c r="H7" s="14" t="n">
        <v>5</v>
      </c>
      <c r="I7" s="14" t="n">
        <v>5</v>
      </c>
      <c r="J7" s="14" t="n">
        <v>4</v>
      </c>
      <c r="K7" s="14" t="n">
        <v>7</v>
      </c>
      <c r="L7" s="14" t="n">
        <v>6</v>
      </c>
      <c r="M7" s="14" t="n">
        <v>9</v>
      </c>
      <c r="N7" s="14" t="n">
        <v>9</v>
      </c>
      <c r="O7" s="14" t="n">
        <v>4.67</v>
      </c>
      <c r="P7" s="14" t="n">
        <v>7.33</v>
      </c>
      <c r="Q7" s="12" t="n">
        <v>9</v>
      </c>
    </row>
    <row r="8" customFormat="false" ht="15" hidden="false" customHeight="false" outlineLevel="0" collapsed="false">
      <c r="A8" s="11" t="n">
        <v>46236</v>
      </c>
      <c r="B8" s="12" t="s">
        <v>38</v>
      </c>
      <c r="C8" s="13" t="s">
        <v>39</v>
      </c>
      <c r="D8" s="13" t="s">
        <v>37</v>
      </c>
      <c r="E8" s="14" t="n">
        <v>9</v>
      </c>
      <c r="F8" s="14" t="n">
        <v>9</v>
      </c>
      <c r="G8" s="14" t="n">
        <v>9</v>
      </c>
      <c r="H8" s="14" t="n">
        <v>9</v>
      </c>
      <c r="I8" s="14" t="n">
        <v>2</v>
      </c>
      <c r="J8" s="14" t="n">
        <v>0</v>
      </c>
      <c r="K8" s="14" t="n">
        <v>7</v>
      </c>
      <c r="L8" s="14" t="n">
        <v>5</v>
      </c>
      <c r="M8" s="14" t="n">
        <v>8</v>
      </c>
      <c r="N8" s="14" t="n">
        <v>9</v>
      </c>
      <c r="O8" s="14" t="n">
        <v>3.67</v>
      </c>
      <c r="P8" s="14" t="n">
        <v>6.67</v>
      </c>
      <c r="Q8" s="12" t="n">
        <v>9</v>
      </c>
    </row>
    <row r="9" customFormat="false" ht="15" hidden="false" customHeight="false" outlineLevel="0" collapsed="false">
      <c r="A9" s="7" t="n">
        <v>46237</v>
      </c>
      <c r="B9" s="8" t="s">
        <v>40</v>
      </c>
      <c r="C9" s="9" t="s">
        <v>41</v>
      </c>
      <c r="D9" s="9" t="s">
        <v>30</v>
      </c>
      <c r="E9" s="10" t="n">
        <v>9</v>
      </c>
      <c r="F9" s="10" t="n">
        <v>9</v>
      </c>
      <c r="G9" s="10" t="n">
        <v>9</v>
      </c>
      <c r="H9" s="10" t="n">
        <v>7</v>
      </c>
      <c r="I9" s="10" t="n">
        <v>9</v>
      </c>
      <c r="J9" s="10" t="n">
        <v>8</v>
      </c>
      <c r="K9" s="10" t="n">
        <v>5</v>
      </c>
      <c r="L9" s="10" t="n">
        <v>9</v>
      </c>
      <c r="M9" s="10" t="n">
        <v>7</v>
      </c>
      <c r="N9" s="10" t="n">
        <v>9</v>
      </c>
      <c r="O9" s="10" t="n">
        <v>8</v>
      </c>
      <c r="P9" s="10" t="n">
        <v>7</v>
      </c>
      <c r="Q9" s="8"/>
    </row>
    <row r="10" customFormat="false" ht="15" hidden="false" customHeight="false" outlineLevel="0" collapsed="false">
      <c r="A10" s="7" t="n">
        <v>46238</v>
      </c>
      <c r="B10" s="8" t="s">
        <v>42</v>
      </c>
      <c r="C10" s="9" t="s">
        <v>43</v>
      </c>
      <c r="D10" s="9" t="s">
        <v>30</v>
      </c>
      <c r="E10" s="10" t="n">
        <v>8</v>
      </c>
      <c r="F10" s="10" t="n">
        <v>8</v>
      </c>
      <c r="G10" s="10" t="n">
        <v>9</v>
      </c>
      <c r="H10" s="10" t="n">
        <v>6</v>
      </c>
      <c r="I10" s="10" t="n">
        <v>9</v>
      </c>
      <c r="J10" s="10" t="n">
        <v>6</v>
      </c>
      <c r="K10" s="10" t="n">
        <v>5</v>
      </c>
      <c r="L10" s="10" t="n">
        <v>7</v>
      </c>
      <c r="M10" s="10" t="n">
        <v>7</v>
      </c>
      <c r="N10" s="10" t="n">
        <v>8.33</v>
      </c>
      <c r="O10" s="10" t="n">
        <v>7</v>
      </c>
      <c r="P10" s="10" t="n">
        <v>6.33</v>
      </c>
      <c r="Q10" s="8"/>
    </row>
    <row r="11" customFormat="false" ht="15" hidden="false" customHeight="false" outlineLevel="0" collapsed="false">
      <c r="A11" s="7" t="n">
        <v>46239</v>
      </c>
      <c r="B11" s="8" t="s">
        <v>44</v>
      </c>
      <c r="C11" s="9" t="s">
        <v>29</v>
      </c>
      <c r="D11" s="9" t="s">
        <v>30</v>
      </c>
      <c r="E11" s="10" t="n">
        <v>8</v>
      </c>
      <c r="F11" s="10" t="n">
        <v>8</v>
      </c>
      <c r="G11" s="10" t="n">
        <v>9</v>
      </c>
      <c r="H11" s="10" t="n">
        <v>3</v>
      </c>
      <c r="I11" s="10" t="n">
        <v>8</v>
      </c>
      <c r="J11" s="10" t="n">
        <v>7</v>
      </c>
      <c r="K11" s="10" t="n">
        <v>7</v>
      </c>
      <c r="L11" s="10" t="n">
        <v>6</v>
      </c>
      <c r="M11" s="10" t="n">
        <v>8</v>
      </c>
      <c r="N11" s="10" t="n">
        <v>8.33</v>
      </c>
      <c r="O11" s="10" t="n">
        <v>6</v>
      </c>
      <c r="P11" s="10" t="n">
        <v>7</v>
      </c>
      <c r="Q11" s="8"/>
    </row>
    <row r="12" customFormat="false" ht="15" hidden="false" customHeight="false" outlineLevel="0" collapsed="false">
      <c r="A12" s="7" t="n">
        <v>46240</v>
      </c>
      <c r="B12" s="8" t="s">
        <v>45</v>
      </c>
      <c r="C12" s="9" t="s">
        <v>32</v>
      </c>
      <c r="D12" s="9" t="s">
        <v>30</v>
      </c>
      <c r="E12" s="10" t="n">
        <v>9</v>
      </c>
      <c r="F12" s="10" t="n">
        <v>9</v>
      </c>
      <c r="G12" s="10" t="n">
        <v>9</v>
      </c>
      <c r="H12" s="10" t="n">
        <v>8</v>
      </c>
      <c r="I12" s="10" t="n">
        <v>9</v>
      </c>
      <c r="J12" s="10" t="n">
        <v>7</v>
      </c>
      <c r="K12" s="10" t="n">
        <v>7</v>
      </c>
      <c r="L12" s="10" t="n">
        <v>7</v>
      </c>
      <c r="M12" s="10" t="n">
        <v>8</v>
      </c>
      <c r="N12" s="10" t="n">
        <v>9</v>
      </c>
      <c r="O12" s="10" t="n">
        <v>8</v>
      </c>
      <c r="P12" s="10" t="n">
        <v>7.33</v>
      </c>
      <c r="Q12" s="8"/>
    </row>
    <row r="13" customFormat="false" ht="15" hidden="false" customHeight="false" outlineLevel="0" collapsed="false">
      <c r="A13" s="7" t="n">
        <v>46241</v>
      </c>
      <c r="B13" s="8" t="s">
        <v>46</v>
      </c>
      <c r="C13" s="9" t="s">
        <v>34</v>
      </c>
      <c r="D13" s="9" t="s">
        <v>30</v>
      </c>
      <c r="E13" s="10" t="n">
        <v>9</v>
      </c>
      <c r="F13" s="10" t="n">
        <v>9</v>
      </c>
      <c r="G13" s="10" t="n">
        <v>9</v>
      </c>
      <c r="H13" s="10" t="n">
        <v>8</v>
      </c>
      <c r="I13" s="10" t="n">
        <v>9</v>
      </c>
      <c r="J13" s="10" t="n">
        <v>8</v>
      </c>
      <c r="K13" s="10" t="n">
        <v>7</v>
      </c>
      <c r="L13" s="10" t="n">
        <v>8</v>
      </c>
      <c r="M13" s="10" t="n">
        <v>8</v>
      </c>
      <c r="N13" s="10" t="n">
        <v>9</v>
      </c>
      <c r="O13" s="10" t="n">
        <v>8.33</v>
      </c>
      <c r="P13" s="10" t="n">
        <v>7.67</v>
      </c>
      <c r="Q13" s="8"/>
    </row>
    <row r="14" customFormat="false" ht="15" hidden="false" customHeight="false" outlineLevel="0" collapsed="false">
      <c r="A14" s="11" t="n">
        <v>46242</v>
      </c>
      <c r="B14" s="12" t="s">
        <v>47</v>
      </c>
      <c r="C14" s="13" t="s">
        <v>36</v>
      </c>
      <c r="D14" s="13" t="s">
        <v>37</v>
      </c>
      <c r="E14" s="14" t="n">
        <v>9</v>
      </c>
      <c r="F14" s="14" t="n">
        <v>9</v>
      </c>
      <c r="G14" s="14" t="n">
        <v>9</v>
      </c>
      <c r="H14" s="14" t="n">
        <v>6</v>
      </c>
      <c r="I14" s="14" t="n">
        <v>0</v>
      </c>
      <c r="J14" s="14" t="n">
        <v>4</v>
      </c>
      <c r="K14" s="14" t="n">
        <v>7</v>
      </c>
      <c r="L14" s="14" t="n">
        <v>6</v>
      </c>
      <c r="M14" s="14" t="n">
        <v>8</v>
      </c>
      <c r="N14" s="14" t="n">
        <v>9</v>
      </c>
      <c r="O14" s="14" t="n">
        <v>3.33</v>
      </c>
      <c r="P14" s="14" t="n">
        <v>7</v>
      </c>
      <c r="Q14" s="12" t="n">
        <v>9</v>
      </c>
    </row>
    <row r="15" customFormat="false" ht="15" hidden="false" customHeight="false" outlineLevel="0" collapsed="false">
      <c r="A15" s="11" t="n">
        <v>46243</v>
      </c>
      <c r="B15" s="12" t="s">
        <v>48</v>
      </c>
      <c r="C15" s="13" t="s">
        <v>39</v>
      </c>
      <c r="D15" s="13" t="s">
        <v>37</v>
      </c>
      <c r="E15" s="14" t="n">
        <v>9</v>
      </c>
      <c r="F15" s="14" t="n">
        <v>9</v>
      </c>
      <c r="G15" s="14" t="n">
        <v>9</v>
      </c>
      <c r="H15" s="14" t="n">
        <v>4</v>
      </c>
      <c r="I15" s="14" t="n">
        <v>0</v>
      </c>
      <c r="J15" s="14" t="n">
        <v>0</v>
      </c>
      <c r="K15" s="14" t="n">
        <v>1</v>
      </c>
      <c r="L15" s="14" t="n">
        <v>7</v>
      </c>
      <c r="M15" s="14" t="n">
        <v>6</v>
      </c>
      <c r="N15" s="14" t="n">
        <v>9</v>
      </c>
      <c r="O15" s="14" t="n">
        <v>1.33</v>
      </c>
      <c r="P15" s="14" t="n">
        <v>4.67</v>
      </c>
      <c r="Q15" s="12" t="n">
        <v>9</v>
      </c>
    </row>
    <row r="16" customFormat="false" ht="15" hidden="false" customHeight="false" outlineLevel="0" collapsed="false">
      <c r="A16" s="7" t="n">
        <v>46244</v>
      </c>
      <c r="B16" s="8" t="s">
        <v>49</v>
      </c>
      <c r="C16" s="9" t="s">
        <v>41</v>
      </c>
      <c r="D16" s="9" t="s">
        <v>30</v>
      </c>
      <c r="E16" s="10" t="n">
        <v>9</v>
      </c>
      <c r="F16" s="10" t="n">
        <v>9</v>
      </c>
      <c r="G16" s="10" t="n">
        <v>9</v>
      </c>
      <c r="H16" s="10" t="n">
        <v>7</v>
      </c>
      <c r="I16" s="10" t="n">
        <v>0</v>
      </c>
      <c r="J16" s="10" t="n">
        <v>7</v>
      </c>
      <c r="K16" s="10" t="n">
        <v>8</v>
      </c>
      <c r="L16" s="10" t="n">
        <v>7</v>
      </c>
      <c r="M16" s="10" t="n">
        <v>8</v>
      </c>
      <c r="N16" s="10" t="n">
        <v>9</v>
      </c>
      <c r="O16" s="10" t="n">
        <v>4.67</v>
      </c>
      <c r="P16" s="10" t="n">
        <v>7.67</v>
      </c>
      <c r="Q16" s="8"/>
    </row>
    <row r="17" customFormat="false" ht="15" hidden="false" customHeight="false" outlineLevel="0" collapsed="false">
      <c r="A17" s="11" t="n">
        <v>46245</v>
      </c>
      <c r="B17" s="12" t="s">
        <v>50</v>
      </c>
      <c r="C17" s="13" t="s">
        <v>43</v>
      </c>
      <c r="D17" s="13" t="s">
        <v>51</v>
      </c>
      <c r="E17" s="14" t="n">
        <v>8</v>
      </c>
      <c r="F17" s="14" t="n">
        <v>8</v>
      </c>
      <c r="G17" s="14" t="n">
        <v>9</v>
      </c>
      <c r="H17" s="14" t="n">
        <v>0</v>
      </c>
      <c r="I17" s="14" t="n">
        <v>0</v>
      </c>
      <c r="J17" s="14" t="n">
        <v>2</v>
      </c>
      <c r="K17" s="14" t="n">
        <v>3</v>
      </c>
      <c r="L17" s="14" t="n">
        <v>2</v>
      </c>
      <c r="M17" s="14" t="n">
        <v>6</v>
      </c>
      <c r="N17" s="14" t="n">
        <v>8.33</v>
      </c>
      <c r="O17" s="14" t="n">
        <v>0.67</v>
      </c>
      <c r="P17" s="14" t="n">
        <v>3.67</v>
      </c>
      <c r="Q17" s="12" t="n">
        <v>9</v>
      </c>
    </row>
    <row r="18" customFormat="false" ht="15" hidden="false" customHeight="false" outlineLevel="0" collapsed="false">
      <c r="A18" s="7" t="n">
        <v>46246</v>
      </c>
      <c r="B18" s="8" t="s">
        <v>52</v>
      </c>
      <c r="C18" s="9" t="s">
        <v>29</v>
      </c>
      <c r="D18" s="9" t="s">
        <v>30</v>
      </c>
      <c r="E18" s="10" t="n">
        <v>9</v>
      </c>
      <c r="F18" s="10" t="n">
        <v>9</v>
      </c>
      <c r="G18" s="10" t="n">
        <v>9</v>
      </c>
      <c r="H18" s="10" t="n">
        <v>8</v>
      </c>
      <c r="I18" s="10" t="n">
        <v>0</v>
      </c>
      <c r="J18" s="10" t="n">
        <v>7</v>
      </c>
      <c r="K18" s="10" t="n">
        <v>6</v>
      </c>
      <c r="L18" s="10" t="n">
        <v>9</v>
      </c>
      <c r="M18" s="10" t="n">
        <v>8</v>
      </c>
      <c r="N18" s="10" t="n">
        <v>9</v>
      </c>
      <c r="O18" s="10" t="n">
        <v>5</v>
      </c>
      <c r="P18" s="10" t="n">
        <v>7.67</v>
      </c>
      <c r="Q18" s="8"/>
    </row>
    <row r="19" customFormat="false" ht="15" hidden="false" customHeight="false" outlineLevel="0" collapsed="false">
      <c r="A19" s="7" t="n">
        <v>46247</v>
      </c>
      <c r="B19" s="8" t="s">
        <v>53</v>
      </c>
      <c r="C19" s="9" t="s">
        <v>32</v>
      </c>
      <c r="D19" s="9" t="s">
        <v>30</v>
      </c>
      <c r="E19" s="10" t="n">
        <v>8</v>
      </c>
      <c r="F19" s="10" t="n">
        <v>9</v>
      </c>
      <c r="G19" s="10" t="n">
        <v>9</v>
      </c>
      <c r="H19" s="10" t="n">
        <v>3</v>
      </c>
      <c r="I19" s="10" t="n">
        <v>0</v>
      </c>
      <c r="J19" s="10" t="n">
        <v>8</v>
      </c>
      <c r="K19" s="10" t="n">
        <v>4</v>
      </c>
      <c r="L19" s="10" t="n">
        <v>6</v>
      </c>
      <c r="M19" s="10" t="n">
        <v>8</v>
      </c>
      <c r="N19" s="10" t="n">
        <v>8.67</v>
      </c>
      <c r="O19" s="10" t="n">
        <v>3.67</v>
      </c>
      <c r="P19" s="10" t="n">
        <v>6</v>
      </c>
      <c r="Q19" s="8"/>
    </row>
    <row r="20" customFormat="false" ht="15" hidden="false" customHeight="false" outlineLevel="0" collapsed="false">
      <c r="A20" s="7" t="n">
        <v>46248</v>
      </c>
      <c r="B20" s="8" t="s">
        <v>54</v>
      </c>
      <c r="C20" s="9" t="s">
        <v>34</v>
      </c>
      <c r="D20" s="9" t="s">
        <v>30</v>
      </c>
      <c r="E20" s="10" t="n">
        <v>9</v>
      </c>
      <c r="F20" s="10" t="n">
        <v>8</v>
      </c>
      <c r="G20" s="10" t="n">
        <v>9</v>
      </c>
      <c r="H20" s="10" t="n">
        <v>3</v>
      </c>
      <c r="I20" s="10"/>
      <c r="J20" s="10" t="n">
        <v>4</v>
      </c>
      <c r="K20" s="10" t="n">
        <v>5</v>
      </c>
      <c r="L20" s="10" t="n">
        <v>5</v>
      </c>
      <c r="M20" s="10" t="n">
        <v>6</v>
      </c>
      <c r="N20" s="10" t="n">
        <v>8.67</v>
      </c>
      <c r="O20" s="10" t="n">
        <v>3.5</v>
      </c>
      <c r="P20" s="10" t="n">
        <v>5.33</v>
      </c>
      <c r="Q20" s="8"/>
    </row>
    <row r="21" customFormat="false" ht="15" hidden="false" customHeight="false" outlineLevel="0" collapsed="false">
      <c r="A21" s="11" t="n">
        <v>46249</v>
      </c>
      <c r="B21" s="12" t="s">
        <v>55</v>
      </c>
      <c r="C21" s="13" t="s">
        <v>36</v>
      </c>
      <c r="D21" s="13" t="s">
        <v>37</v>
      </c>
      <c r="E21" s="14" t="n">
        <v>9</v>
      </c>
      <c r="F21" s="14" t="n">
        <v>9</v>
      </c>
      <c r="G21" s="14" t="n">
        <v>9</v>
      </c>
      <c r="H21" s="14" t="n">
        <v>1</v>
      </c>
      <c r="I21" s="14"/>
      <c r="J21" s="14" t="n">
        <v>0</v>
      </c>
      <c r="K21" s="14" t="n">
        <v>5</v>
      </c>
      <c r="L21" s="14" t="n">
        <v>1</v>
      </c>
      <c r="M21" s="14" t="n">
        <v>7</v>
      </c>
      <c r="N21" s="14" t="n">
        <v>9</v>
      </c>
      <c r="O21" s="14" t="n">
        <v>0.5</v>
      </c>
      <c r="P21" s="14" t="n">
        <v>4.33</v>
      </c>
      <c r="Q21" s="12" t="n">
        <v>9</v>
      </c>
    </row>
    <row r="22" customFormat="false" ht="15" hidden="false" customHeight="false" outlineLevel="0" collapsed="false">
      <c r="A22" s="11" t="n">
        <v>46250</v>
      </c>
      <c r="B22" s="12" t="s">
        <v>56</v>
      </c>
      <c r="C22" s="13" t="s">
        <v>39</v>
      </c>
      <c r="D22" s="13" t="s">
        <v>37</v>
      </c>
      <c r="E22" s="14" t="n">
        <v>9</v>
      </c>
      <c r="F22" s="14" t="n">
        <v>9</v>
      </c>
      <c r="G22" s="14" t="n">
        <v>9</v>
      </c>
      <c r="H22" s="14" t="n">
        <v>0</v>
      </c>
      <c r="I22" s="14"/>
      <c r="J22" s="14" t="n">
        <v>0</v>
      </c>
      <c r="K22" s="14" t="n">
        <v>9</v>
      </c>
      <c r="L22" s="14" t="n">
        <v>1</v>
      </c>
      <c r="M22" s="14" t="n">
        <v>8</v>
      </c>
      <c r="N22" s="14" t="n">
        <v>9</v>
      </c>
      <c r="O22" s="14" t="n">
        <v>0</v>
      </c>
      <c r="P22" s="14" t="n">
        <v>6</v>
      </c>
      <c r="Q22" s="12" t="n">
        <v>9</v>
      </c>
    </row>
    <row r="23" customFormat="false" ht="15" hidden="false" customHeight="false" outlineLevel="0" collapsed="false">
      <c r="A23" s="7" t="n">
        <v>46251</v>
      </c>
      <c r="B23" s="8" t="s">
        <v>57</v>
      </c>
      <c r="C23" s="9" t="s">
        <v>41</v>
      </c>
      <c r="D23" s="9" t="s">
        <v>30</v>
      </c>
      <c r="E23" s="10" t="n">
        <v>8</v>
      </c>
      <c r="F23" s="10" t="n">
        <v>8</v>
      </c>
      <c r="G23" s="10" t="n">
        <v>8</v>
      </c>
      <c r="H23" s="10" t="n">
        <v>8</v>
      </c>
      <c r="I23" s="10"/>
      <c r="J23" s="10" t="n">
        <v>7</v>
      </c>
      <c r="K23" s="10" t="n">
        <v>7</v>
      </c>
      <c r="L23" s="10" t="n">
        <v>8</v>
      </c>
      <c r="M23" s="10" t="n">
        <v>5</v>
      </c>
      <c r="N23" s="10" t="n">
        <v>8</v>
      </c>
      <c r="O23" s="10" t="n">
        <v>7.5</v>
      </c>
      <c r="P23" s="10" t="n">
        <v>6.67</v>
      </c>
      <c r="Q23" s="8"/>
    </row>
    <row r="24" customFormat="false" ht="15" hidden="false" customHeight="false" outlineLevel="0" collapsed="false">
      <c r="A24" s="7" t="n">
        <v>46252</v>
      </c>
      <c r="B24" s="8" t="s">
        <v>58</v>
      </c>
      <c r="C24" s="9" t="s">
        <v>43</v>
      </c>
      <c r="D24" s="9" t="s">
        <v>30</v>
      </c>
      <c r="E24" s="10" t="n">
        <v>9</v>
      </c>
      <c r="F24" s="10" t="n">
        <v>9</v>
      </c>
      <c r="G24" s="10" t="n">
        <v>9</v>
      </c>
      <c r="H24" s="10" t="n">
        <v>7</v>
      </c>
      <c r="I24" s="10"/>
      <c r="J24" s="10" t="n">
        <v>9</v>
      </c>
      <c r="K24" s="10" t="n">
        <v>7</v>
      </c>
      <c r="L24" s="10" t="n">
        <v>7</v>
      </c>
      <c r="M24" s="10" t="n">
        <v>9</v>
      </c>
      <c r="N24" s="10" t="n">
        <v>9</v>
      </c>
      <c r="O24" s="10" t="n">
        <v>8</v>
      </c>
      <c r="P24" s="10" t="n">
        <v>7.67</v>
      </c>
      <c r="Q24" s="8"/>
    </row>
    <row r="25" customFormat="false" ht="15" hidden="false" customHeight="false" outlineLevel="0" collapsed="false">
      <c r="A25" s="7" t="n">
        <v>46253</v>
      </c>
      <c r="B25" s="8" t="s">
        <v>59</v>
      </c>
      <c r="C25" s="9" t="s">
        <v>29</v>
      </c>
      <c r="D25" s="9" t="s">
        <v>30</v>
      </c>
      <c r="E25" s="10" t="n">
        <v>9</v>
      </c>
      <c r="F25" s="10" t="n">
        <v>9</v>
      </c>
      <c r="G25" s="10" t="n">
        <v>9</v>
      </c>
      <c r="H25" s="10" t="n">
        <v>8</v>
      </c>
      <c r="I25" s="10"/>
      <c r="J25" s="10" t="n">
        <v>7</v>
      </c>
      <c r="K25" s="10" t="n">
        <v>7</v>
      </c>
      <c r="L25" s="10" t="n">
        <v>8</v>
      </c>
      <c r="M25" s="10" t="n">
        <v>8</v>
      </c>
      <c r="N25" s="10" t="n">
        <v>9</v>
      </c>
      <c r="O25" s="10" t="n">
        <v>7.5</v>
      </c>
      <c r="P25" s="10" t="n">
        <v>7.67</v>
      </c>
      <c r="Q25" s="8"/>
    </row>
    <row r="26" customFormat="false" ht="15" hidden="false" customHeight="false" outlineLevel="0" collapsed="false">
      <c r="A26" s="7" t="n">
        <v>46254</v>
      </c>
      <c r="B26" s="8" t="s">
        <v>60</v>
      </c>
      <c r="C26" s="9" t="s">
        <v>32</v>
      </c>
      <c r="D26" s="9" t="s">
        <v>30</v>
      </c>
      <c r="E26" s="10" t="n">
        <v>9</v>
      </c>
      <c r="F26" s="10" t="n">
        <v>9</v>
      </c>
      <c r="G26" s="10" t="n">
        <v>9</v>
      </c>
      <c r="H26" s="10" t="n">
        <v>8</v>
      </c>
      <c r="I26" s="10"/>
      <c r="J26" s="10" t="n">
        <v>7</v>
      </c>
      <c r="K26" s="10" t="n">
        <v>7</v>
      </c>
      <c r="L26" s="10" t="n">
        <v>8</v>
      </c>
      <c r="M26" s="10" t="n">
        <v>7</v>
      </c>
      <c r="N26" s="10" t="n">
        <v>9</v>
      </c>
      <c r="O26" s="10" t="n">
        <v>7.5</v>
      </c>
      <c r="P26" s="10" t="n">
        <v>7.33</v>
      </c>
      <c r="Q26" s="8"/>
    </row>
    <row r="27" customFormat="false" ht="15" hidden="false" customHeight="false" outlineLevel="0" collapsed="false">
      <c r="A27" s="7" t="n">
        <v>46255</v>
      </c>
      <c r="B27" s="8" t="s">
        <v>61</v>
      </c>
      <c r="C27" s="9" t="s">
        <v>34</v>
      </c>
      <c r="D27" s="9" t="s">
        <v>30</v>
      </c>
      <c r="E27" s="10" t="n">
        <v>9</v>
      </c>
      <c r="F27" s="10" t="n">
        <v>9</v>
      </c>
      <c r="G27" s="10" t="n">
        <v>9</v>
      </c>
      <c r="H27" s="10" t="n">
        <v>8</v>
      </c>
      <c r="I27" s="10"/>
      <c r="J27" s="10" t="n">
        <v>7</v>
      </c>
      <c r="K27" s="10" t="n">
        <v>7</v>
      </c>
      <c r="L27" s="10" t="n">
        <v>8</v>
      </c>
      <c r="M27" s="10" t="n">
        <v>9</v>
      </c>
      <c r="N27" s="10" t="n">
        <v>9</v>
      </c>
      <c r="O27" s="10" t="n">
        <v>7.5</v>
      </c>
      <c r="P27" s="10" t="n">
        <v>8</v>
      </c>
      <c r="Q27" s="8"/>
    </row>
    <row r="28" customFormat="false" ht="15" hidden="false" customHeight="false" outlineLevel="0" collapsed="false">
      <c r="A28" s="11" t="n">
        <v>46256</v>
      </c>
      <c r="B28" s="12" t="s">
        <v>62</v>
      </c>
      <c r="C28" s="13" t="s">
        <v>36</v>
      </c>
      <c r="D28" s="13" t="s">
        <v>37</v>
      </c>
      <c r="E28" s="14" t="n">
        <v>9</v>
      </c>
      <c r="F28" s="14" t="n">
        <v>9</v>
      </c>
      <c r="G28" s="14" t="n">
        <v>7</v>
      </c>
      <c r="H28" s="14" t="n">
        <v>4</v>
      </c>
      <c r="I28" s="14"/>
      <c r="J28" s="14" t="n">
        <v>2</v>
      </c>
      <c r="K28" s="14" t="n">
        <v>5</v>
      </c>
      <c r="L28" s="14" t="n">
        <v>3</v>
      </c>
      <c r="M28" s="14" t="n">
        <v>8</v>
      </c>
      <c r="N28" s="14" t="n">
        <v>8.33</v>
      </c>
      <c r="O28" s="14" t="n">
        <v>3</v>
      </c>
      <c r="P28" s="14" t="n">
        <v>5.33</v>
      </c>
      <c r="Q28" s="12" t="n">
        <v>9</v>
      </c>
    </row>
    <row r="29" customFormat="false" ht="15" hidden="false" customHeight="false" outlineLevel="0" collapsed="false">
      <c r="A29" s="11" t="n">
        <v>46257</v>
      </c>
      <c r="B29" s="12" t="s">
        <v>63</v>
      </c>
      <c r="C29" s="13" t="s">
        <v>39</v>
      </c>
      <c r="D29" s="13" t="s">
        <v>37</v>
      </c>
      <c r="E29" s="14" t="n">
        <v>9</v>
      </c>
      <c r="F29" s="14" t="n">
        <v>9</v>
      </c>
      <c r="G29" s="14" t="n">
        <v>9</v>
      </c>
      <c r="H29" s="14" t="n">
        <v>5</v>
      </c>
      <c r="I29" s="14"/>
      <c r="J29" s="14" t="n">
        <v>3</v>
      </c>
      <c r="K29" s="14" t="n">
        <v>3</v>
      </c>
      <c r="L29" s="14" t="n">
        <v>3</v>
      </c>
      <c r="M29" s="14" t="n">
        <v>9</v>
      </c>
      <c r="N29" s="14" t="n">
        <v>9</v>
      </c>
      <c r="O29" s="14" t="n">
        <v>4</v>
      </c>
      <c r="P29" s="14" t="n">
        <v>5</v>
      </c>
      <c r="Q29" s="12" t="n">
        <v>9</v>
      </c>
    </row>
    <row r="30" customFormat="false" ht="15" hidden="false" customHeight="false" outlineLevel="0" collapsed="false">
      <c r="A30" s="7" t="n">
        <v>46258</v>
      </c>
      <c r="B30" s="8" t="s">
        <v>64</v>
      </c>
      <c r="C30" s="9" t="s">
        <v>41</v>
      </c>
      <c r="D30" s="9" t="s">
        <v>30</v>
      </c>
      <c r="E30" s="10" t="n">
        <v>9</v>
      </c>
      <c r="F30" s="10" t="n">
        <v>9</v>
      </c>
      <c r="G30" s="10" t="n">
        <v>8</v>
      </c>
      <c r="H30" s="10" t="n">
        <v>9</v>
      </c>
      <c r="I30" s="10"/>
      <c r="J30" s="10" t="n">
        <v>8</v>
      </c>
      <c r="K30" s="10" t="n">
        <v>9</v>
      </c>
      <c r="L30" s="10" t="n">
        <v>8</v>
      </c>
      <c r="M30" s="10" t="n">
        <v>9</v>
      </c>
      <c r="N30" s="10" t="n">
        <v>8.67</v>
      </c>
      <c r="O30" s="10" t="n">
        <v>8.5</v>
      </c>
      <c r="P30" s="10" t="n">
        <v>8.67</v>
      </c>
      <c r="Q30" s="8"/>
    </row>
    <row r="31" customFormat="false" ht="15" hidden="false" customHeight="false" outlineLevel="0" collapsed="false">
      <c r="A31" s="7" t="n">
        <v>46259</v>
      </c>
      <c r="B31" s="8" t="s">
        <v>65</v>
      </c>
      <c r="C31" s="9" t="s">
        <v>43</v>
      </c>
      <c r="D31" s="9" t="s">
        <v>30</v>
      </c>
      <c r="E31" s="10" t="n">
        <v>9</v>
      </c>
      <c r="F31" s="10" t="n">
        <v>9</v>
      </c>
      <c r="G31" s="10" t="n">
        <v>9</v>
      </c>
      <c r="H31" s="10" t="n">
        <v>9</v>
      </c>
      <c r="I31" s="10"/>
      <c r="J31" s="10" t="n">
        <v>8</v>
      </c>
      <c r="K31" s="10" t="n">
        <v>9</v>
      </c>
      <c r="L31" s="10" t="n">
        <v>9</v>
      </c>
      <c r="M31" s="10" t="n">
        <v>8</v>
      </c>
      <c r="N31" s="10" t="n">
        <v>9</v>
      </c>
      <c r="O31" s="10" t="n">
        <v>8.5</v>
      </c>
      <c r="P31" s="10" t="n">
        <v>8.67</v>
      </c>
      <c r="Q31" s="8"/>
    </row>
    <row r="32" customFormat="false" ht="15" hidden="false" customHeight="false" outlineLevel="0" collapsed="false">
      <c r="A32" s="7" t="n">
        <v>46260</v>
      </c>
      <c r="B32" s="8" t="s">
        <v>66</v>
      </c>
      <c r="C32" s="9" t="s">
        <v>29</v>
      </c>
      <c r="D32" s="9" t="s">
        <v>30</v>
      </c>
      <c r="E32" s="10" t="n">
        <v>9</v>
      </c>
      <c r="F32" s="10" t="n">
        <v>9</v>
      </c>
      <c r="G32" s="10" t="n">
        <v>9</v>
      </c>
      <c r="H32" s="10" t="n">
        <v>9</v>
      </c>
      <c r="I32" s="10"/>
      <c r="J32" s="10" t="n">
        <v>8</v>
      </c>
      <c r="K32" s="10" t="n">
        <v>8</v>
      </c>
      <c r="L32" s="10" t="n">
        <v>9</v>
      </c>
      <c r="M32" s="10" t="n">
        <v>9</v>
      </c>
      <c r="N32" s="10" t="n">
        <v>9</v>
      </c>
      <c r="O32" s="10" t="n">
        <v>8.5</v>
      </c>
      <c r="P32" s="10" t="n">
        <v>8.67</v>
      </c>
      <c r="Q32" s="8"/>
    </row>
    <row r="33" customFormat="false" ht="15" hidden="false" customHeight="false" outlineLevel="0" collapsed="false">
      <c r="A33" s="7" t="n">
        <v>46261</v>
      </c>
      <c r="B33" s="8" t="s">
        <v>67</v>
      </c>
      <c r="C33" s="9" t="s">
        <v>32</v>
      </c>
      <c r="D33" s="9" t="s">
        <v>30</v>
      </c>
      <c r="E33" s="10" t="n">
        <v>9</v>
      </c>
      <c r="F33" s="10" t="n">
        <v>9</v>
      </c>
      <c r="G33" s="10" t="n">
        <v>9</v>
      </c>
      <c r="H33" s="10" t="n">
        <v>6</v>
      </c>
      <c r="I33" s="10"/>
      <c r="J33" s="10" t="n">
        <v>8</v>
      </c>
      <c r="K33" s="10" t="n">
        <v>8</v>
      </c>
      <c r="L33" s="10" t="n">
        <v>7</v>
      </c>
      <c r="M33" s="10" t="n">
        <v>8</v>
      </c>
      <c r="N33" s="10" t="n">
        <v>9</v>
      </c>
      <c r="O33" s="10" t="n">
        <v>7</v>
      </c>
      <c r="P33" s="10" t="n">
        <v>7.67</v>
      </c>
      <c r="Q33" s="8"/>
    </row>
    <row r="34" customFormat="false" ht="15" hidden="false" customHeight="false" outlineLevel="0" collapsed="false">
      <c r="A34" s="7" t="n">
        <v>46262</v>
      </c>
      <c r="B34" s="8" t="s">
        <v>68</v>
      </c>
      <c r="C34" s="9" t="s">
        <v>34</v>
      </c>
      <c r="D34" s="9" t="s">
        <v>30</v>
      </c>
      <c r="E34" s="10" t="n">
        <v>9</v>
      </c>
      <c r="F34" s="10" t="n">
        <v>9</v>
      </c>
      <c r="G34" s="10" t="n">
        <v>9</v>
      </c>
      <c r="H34" s="10" t="n">
        <v>5</v>
      </c>
      <c r="I34" s="10"/>
      <c r="J34" s="10" t="n">
        <v>7</v>
      </c>
      <c r="K34" s="10" t="n">
        <v>8</v>
      </c>
      <c r="L34" s="10" t="n">
        <v>9</v>
      </c>
      <c r="M34" s="10" t="n">
        <v>9</v>
      </c>
      <c r="N34" s="10" t="n">
        <v>9</v>
      </c>
      <c r="O34" s="10" t="n">
        <v>6</v>
      </c>
      <c r="P34" s="10" t="n">
        <v>8.67</v>
      </c>
      <c r="Q34" s="8"/>
    </row>
    <row r="35" customFormat="false" ht="15" hidden="false" customHeight="false" outlineLevel="0" collapsed="false">
      <c r="A35" s="11" t="n">
        <v>46263</v>
      </c>
      <c r="B35" s="12" t="s">
        <v>69</v>
      </c>
      <c r="C35" s="13" t="s">
        <v>36</v>
      </c>
      <c r="D35" s="13" t="s">
        <v>37</v>
      </c>
      <c r="E35" s="14" t="n">
        <v>9</v>
      </c>
      <c r="F35" s="14" t="n">
        <v>9</v>
      </c>
      <c r="G35" s="14" t="n">
        <v>9</v>
      </c>
      <c r="H35" s="14" t="n">
        <v>0</v>
      </c>
      <c r="I35" s="14" t="n">
        <v>1</v>
      </c>
      <c r="J35" s="14" t="n">
        <v>4</v>
      </c>
      <c r="K35" s="14" t="n">
        <v>1</v>
      </c>
      <c r="L35" s="14" t="n">
        <v>0</v>
      </c>
      <c r="M35" s="14" t="n">
        <v>8</v>
      </c>
      <c r="N35" s="14" t="n">
        <v>9</v>
      </c>
      <c r="O35" s="14" t="n">
        <v>1.67</v>
      </c>
      <c r="P35" s="14" t="n">
        <v>3</v>
      </c>
      <c r="Q35" s="12" t="n">
        <v>9</v>
      </c>
    </row>
    <row r="36" customFormat="false" ht="15" hidden="false" customHeight="false" outlineLevel="0" collapsed="false">
      <c r="A36" s="11" t="n">
        <v>46264</v>
      </c>
      <c r="B36" s="12" t="s">
        <v>70</v>
      </c>
      <c r="C36" s="13" t="s">
        <v>39</v>
      </c>
      <c r="D36" s="13" t="s">
        <v>37</v>
      </c>
      <c r="E36" s="14" t="n">
        <v>6</v>
      </c>
      <c r="F36" s="14"/>
      <c r="G36" s="14" t="n">
        <v>9</v>
      </c>
      <c r="H36" s="14" t="n">
        <v>5</v>
      </c>
      <c r="I36" s="14" t="n">
        <v>3</v>
      </c>
      <c r="J36" s="14" t="n">
        <v>3</v>
      </c>
      <c r="K36" s="14" t="n">
        <v>5</v>
      </c>
      <c r="L36" s="14" t="n">
        <v>3</v>
      </c>
      <c r="M36" s="14" t="n">
        <v>7</v>
      </c>
      <c r="N36" s="14" t="n">
        <v>7.5</v>
      </c>
      <c r="O36" s="14" t="n">
        <v>3.67</v>
      </c>
      <c r="P36" s="14" t="n">
        <v>5</v>
      </c>
      <c r="Q36" s="12" t="n">
        <v>9</v>
      </c>
    </row>
    <row r="37" customFormat="false" ht="15" hidden="false" customHeight="false" outlineLevel="0" collapsed="false">
      <c r="A37" s="7" t="n">
        <v>46265</v>
      </c>
      <c r="B37" s="8" t="s">
        <v>71</v>
      </c>
      <c r="C37" s="9" t="s">
        <v>41</v>
      </c>
      <c r="D37" s="9" t="s">
        <v>30</v>
      </c>
      <c r="E37" s="10" t="n">
        <v>7</v>
      </c>
      <c r="F37" s="10"/>
      <c r="G37" s="10" t="n">
        <v>8</v>
      </c>
      <c r="H37" s="10" t="n">
        <v>6</v>
      </c>
      <c r="I37" s="10" t="n">
        <v>9</v>
      </c>
      <c r="J37" s="10" t="n">
        <v>6</v>
      </c>
      <c r="K37" s="10" t="n">
        <v>4</v>
      </c>
      <c r="L37" s="10" t="n">
        <v>8</v>
      </c>
      <c r="M37" s="10" t="n">
        <v>6</v>
      </c>
      <c r="N37" s="10" t="n">
        <v>7.5</v>
      </c>
      <c r="O37" s="10" t="n">
        <v>7</v>
      </c>
      <c r="P37" s="10" t="n">
        <v>6</v>
      </c>
      <c r="Q37" s="8"/>
    </row>
    <row r="38" customFormat="false" ht="15" hidden="false" customHeight="false" outlineLevel="0" collapsed="false">
      <c r="A38" s="7" t="n">
        <v>46266</v>
      </c>
      <c r="B38" s="8" t="s">
        <v>72</v>
      </c>
      <c r="C38" s="9" t="s">
        <v>43</v>
      </c>
      <c r="D38" s="9" t="s">
        <v>30</v>
      </c>
      <c r="E38" s="10" t="n">
        <v>8</v>
      </c>
      <c r="F38" s="10"/>
      <c r="G38" s="10" t="n">
        <v>8</v>
      </c>
      <c r="H38" s="10" t="n">
        <v>5</v>
      </c>
      <c r="I38" s="10" t="n">
        <v>9</v>
      </c>
      <c r="J38" s="10" t="n">
        <v>8</v>
      </c>
      <c r="K38" s="10" t="n">
        <v>4</v>
      </c>
      <c r="L38" s="10" t="n">
        <v>8</v>
      </c>
      <c r="M38" s="10" t="n">
        <v>7</v>
      </c>
      <c r="N38" s="10" t="n">
        <v>8</v>
      </c>
      <c r="O38" s="10" t="n">
        <v>7.33</v>
      </c>
      <c r="P38" s="10" t="n">
        <v>6.33</v>
      </c>
      <c r="Q38" s="8"/>
    </row>
    <row r="39" customFormat="false" ht="15" hidden="false" customHeight="false" outlineLevel="0" collapsed="false">
      <c r="A39" s="7" t="n">
        <v>46267</v>
      </c>
      <c r="B39" s="8" t="s">
        <v>73</v>
      </c>
      <c r="C39" s="9" t="s">
        <v>29</v>
      </c>
      <c r="D39" s="9" t="s">
        <v>30</v>
      </c>
      <c r="E39" s="10" t="n">
        <v>9</v>
      </c>
      <c r="F39" s="10"/>
      <c r="G39" s="10" t="n">
        <v>9</v>
      </c>
      <c r="H39" s="10" t="n">
        <v>6</v>
      </c>
      <c r="I39" s="10" t="n">
        <v>9</v>
      </c>
      <c r="J39" s="10" t="n">
        <v>7</v>
      </c>
      <c r="K39" s="10" t="n">
        <v>7</v>
      </c>
      <c r="L39" s="10" t="n">
        <v>7</v>
      </c>
      <c r="M39" s="10" t="n">
        <v>7</v>
      </c>
      <c r="N39" s="10" t="n">
        <v>9</v>
      </c>
      <c r="O39" s="10" t="n">
        <v>7.33</v>
      </c>
      <c r="P39" s="10" t="n">
        <v>7</v>
      </c>
      <c r="Q39" s="8"/>
    </row>
    <row r="40" customFormat="false" ht="15" hidden="false" customHeight="false" outlineLevel="0" collapsed="false">
      <c r="A40" s="7" t="n">
        <v>46268</v>
      </c>
      <c r="B40" s="8" t="s">
        <v>74</v>
      </c>
      <c r="C40" s="9" t="s">
        <v>32</v>
      </c>
      <c r="D40" s="9" t="s">
        <v>30</v>
      </c>
      <c r="E40" s="10" t="n">
        <v>9</v>
      </c>
      <c r="F40" s="10"/>
      <c r="G40" s="10" t="n">
        <v>9</v>
      </c>
      <c r="H40" s="10" t="n">
        <v>5</v>
      </c>
      <c r="I40" s="10" t="n">
        <v>8</v>
      </c>
      <c r="J40" s="10" t="n">
        <v>6</v>
      </c>
      <c r="K40" s="10" t="n">
        <v>5</v>
      </c>
      <c r="L40" s="10" t="n">
        <v>8</v>
      </c>
      <c r="M40" s="10" t="n">
        <v>9</v>
      </c>
      <c r="N40" s="10" t="n">
        <v>9</v>
      </c>
      <c r="O40" s="10" t="n">
        <v>6.33</v>
      </c>
      <c r="P40" s="10" t="n">
        <v>7.33</v>
      </c>
      <c r="Q40" s="8"/>
    </row>
    <row r="41" customFormat="false" ht="15" hidden="false" customHeight="false" outlineLevel="0" collapsed="false">
      <c r="A41" s="7" t="n">
        <v>46269</v>
      </c>
      <c r="B41" s="8" t="s">
        <v>75</v>
      </c>
      <c r="C41" s="9" t="s">
        <v>34</v>
      </c>
      <c r="D41" s="9" t="s">
        <v>30</v>
      </c>
      <c r="E41" s="10" t="n">
        <v>7</v>
      </c>
      <c r="F41" s="10"/>
      <c r="G41" s="10" t="n">
        <v>9</v>
      </c>
      <c r="H41" s="10" t="n">
        <v>4</v>
      </c>
      <c r="I41" s="10" t="n">
        <v>8</v>
      </c>
      <c r="J41" s="10" t="n">
        <v>5</v>
      </c>
      <c r="K41" s="10" t="n">
        <v>3</v>
      </c>
      <c r="L41" s="10" t="n">
        <v>6</v>
      </c>
      <c r="M41" s="10" t="n">
        <v>8</v>
      </c>
      <c r="N41" s="10" t="n">
        <v>8</v>
      </c>
      <c r="O41" s="10" t="n">
        <v>5.67</v>
      </c>
      <c r="P41" s="10" t="n">
        <v>5.67</v>
      </c>
      <c r="Q41" s="8"/>
    </row>
    <row r="42" customFormat="false" ht="15" hidden="false" customHeight="false" outlineLevel="0" collapsed="false">
      <c r="A42" s="11" t="n">
        <v>46270</v>
      </c>
      <c r="B42" s="12" t="s">
        <v>76</v>
      </c>
      <c r="C42" s="13" t="s">
        <v>36</v>
      </c>
      <c r="D42" s="13" t="s">
        <v>37</v>
      </c>
      <c r="E42" s="14" t="n">
        <v>6</v>
      </c>
      <c r="F42" s="14" t="n">
        <v>6</v>
      </c>
      <c r="G42" s="14" t="n">
        <v>9</v>
      </c>
      <c r="H42" s="14" t="n">
        <v>0</v>
      </c>
      <c r="I42" s="14" t="n">
        <v>5</v>
      </c>
      <c r="J42" s="14" t="n">
        <v>5</v>
      </c>
      <c r="K42" s="14" t="n">
        <v>5</v>
      </c>
      <c r="L42" s="14" t="n">
        <v>2</v>
      </c>
      <c r="M42" s="14" t="n">
        <v>9</v>
      </c>
      <c r="N42" s="14" t="n">
        <v>7</v>
      </c>
      <c r="O42" s="14" t="n">
        <v>3.33</v>
      </c>
      <c r="P42" s="14" t="n">
        <v>5.33</v>
      </c>
      <c r="Q42" s="12" t="n">
        <v>9</v>
      </c>
    </row>
    <row r="43" customFormat="false" ht="15" hidden="false" customHeight="false" outlineLevel="0" collapsed="false">
      <c r="A43" s="11" t="n">
        <v>46271</v>
      </c>
      <c r="B43" s="12" t="s">
        <v>77</v>
      </c>
      <c r="C43" s="13" t="s">
        <v>39</v>
      </c>
      <c r="D43" s="13" t="s">
        <v>37</v>
      </c>
      <c r="E43" s="14" t="n">
        <v>0</v>
      </c>
      <c r="F43" s="14"/>
      <c r="G43" s="14" t="n">
        <v>9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6</v>
      </c>
      <c r="N43" s="14" t="n">
        <v>4.5</v>
      </c>
      <c r="O43" s="14" t="n">
        <v>0</v>
      </c>
      <c r="P43" s="14" t="n">
        <v>2</v>
      </c>
      <c r="Q43" s="12" t="n">
        <v>9</v>
      </c>
    </row>
    <row r="44" customFormat="false" ht="15" hidden="false" customHeight="false" outlineLevel="0" collapsed="false">
      <c r="A44" s="7" t="n">
        <v>46272</v>
      </c>
      <c r="B44" s="8" t="s">
        <v>78</v>
      </c>
      <c r="C44" s="9" t="s">
        <v>41</v>
      </c>
      <c r="D44" s="9" t="s">
        <v>30</v>
      </c>
      <c r="E44" s="10" t="n">
        <v>1</v>
      </c>
      <c r="F44" s="10"/>
      <c r="G44" s="10" t="n">
        <v>7</v>
      </c>
      <c r="H44" s="10" t="n">
        <v>5</v>
      </c>
      <c r="I44" s="10" t="n">
        <v>7</v>
      </c>
      <c r="J44" s="10" t="n">
        <v>6</v>
      </c>
      <c r="K44" s="10" t="n">
        <v>3</v>
      </c>
      <c r="L44" s="10" t="n">
        <v>0</v>
      </c>
      <c r="M44" s="10" t="n">
        <v>8</v>
      </c>
      <c r="N44" s="10" t="n">
        <v>4</v>
      </c>
      <c r="O44" s="10" t="n">
        <v>6</v>
      </c>
      <c r="P44" s="10" t="n">
        <v>3.67</v>
      </c>
      <c r="Q44" s="8"/>
    </row>
    <row r="45" customFormat="false" ht="15" hidden="false" customHeight="false" outlineLevel="0" collapsed="false">
      <c r="A45" s="7" t="n">
        <v>46273</v>
      </c>
      <c r="B45" s="8" t="s">
        <v>79</v>
      </c>
      <c r="C45" s="9" t="s">
        <v>43</v>
      </c>
      <c r="D45" s="9" t="s">
        <v>30</v>
      </c>
      <c r="E45" s="10" t="n">
        <v>8</v>
      </c>
      <c r="F45" s="10" t="n">
        <v>9</v>
      </c>
      <c r="G45" s="10" t="n">
        <v>9</v>
      </c>
      <c r="H45" s="10" t="n">
        <v>7</v>
      </c>
      <c r="I45" s="10" t="n">
        <v>9</v>
      </c>
      <c r="J45" s="10" t="n">
        <v>7</v>
      </c>
      <c r="K45" s="10" t="n">
        <v>7</v>
      </c>
      <c r="L45" s="10" t="n">
        <v>6</v>
      </c>
      <c r="M45" s="10" t="n">
        <v>7</v>
      </c>
      <c r="N45" s="10" t="n">
        <v>8.67</v>
      </c>
      <c r="O45" s="10" t="n">
        <v>7.67</v>
      </c>
      <c r="P45" s="10" t="n">
        <v>6.67</v>
      </c>
      <c r="Q45" s="8"/>
    </row>
    <row r="46" customFormat="false" ht="15" hidden="false" customHeight="false" outlineLevel="0" collapsed="false">
      <c r="A46" s="7" t="n">
        <v>46274</v>
      </c>
      <c r="B46" s="8" t="s">
        <v>80</v>
      </c>
      <c r="C46" s="9" t="s">
        <v>29</v>
      </c>
      <c r="D46" s="9" t="s">
        <v>30</v>
      </c>
      <c r="E46" s="10" t="n">
        <v>8</v>
      </c>
      <c r="F46" s="10" t="n">
        <v>9</v>
      </c>
      <c r="G46" s="10" t="n">
        <v>8</v>
      </c>
      <c r="H46" s="10" t="n">
        <v>6</v>
      </c>
      <c r="I46" s="10" t="n">
        <v>7</v>
      </c>
      <c r="J46" s="10" t="n">
        <v>6</v>
      </c>
      <c r="K46" s="10" t="n">
        <v>3</v>
      </c>
      <c r="L46" s="10" t="n">
        <v>5</v>
      </c>
      <c r="M46" s="10" t="n">
        <v>5</v>
      </c>
      <c r="N46" s="10" t="n">
        <v>8.33</v>
      </c>
      <c r="O46" s="10" t="n">
        <v>6.33</v>
      </c>
      <c r="P46" s="10" t="n">
        <v>4.33</v>
      </c>
      <c r="Q46" s="8"/>
    </row>
    <row r="47" customFormat="false" ht="15" hidden="false" customHeight="false" outlineLevel="0" collapsed="false">
      <c r="A47" s="7" t="n">
        <v>46275</v>
      </c>
      <c r="B47" s="8" t="s">
        <v>81</v>
      </c>
      <c r="C47" s="9" t="s">
        <v>32</v>
      </c>
      <c r="D47" s="9" t="s">
        <v>30</v>
      </c>
      <c r="E47" s="10" t="n">
        <v>0</v>
      </c>
      <c r="F47" s="10" t="n">
        <v>5</v>
      </c>
      <c r="G47" s="10" t="n">
        <v>4</v>
      </c>
      <c r="H47" s="10" t="n">
        <v>1</v>
      </c>
      <c r="I47" s="10" t="n">
        <v>3</v>
      </c>
      <c r="J47" s="10" t="n">
        <v>9</v>
      </c>
      <c r="K47" s="10" t="n">
        <v>4</v>
      </c>
      <c r="L47" s="10" t="n">
        <v>8</v>
      </c>
      <c r="M47" s="10" t="n">
        <v>9</v>
      </c>
      <c r="N47" s="10" t="n">
        <v>3</v>
      </c>
      <c r="O47" s="10" t="n">
        <v>4.33</v>
      </c>
      <c r="P47" s="10" t="n">
        <v>7</v>
      </c>
      <c r="Q47" s="8"/>
    </row>
    <row r="48" customFormat="false" ht="15" hidden="false" customHeight="false" outlineLevel="0" collapsed="false">
      <c r="A48" s="7" t="n">
        <v>46276</v>
      </c>
      <c r="B48" s="8" t="s">
        <v>82</v>
      </c>
      <c r="C48" s="9" t="s">
        <v>34</v>
      </c>
      <c r="D48" s="9" t="s">
        <v>30</v>
      </c>
      <c r="E48" s="10" t="n">
        <v>0</v>
      </c>
      <c r="F48" s="10" t="n">
        <v>1</v>
      </c>
      <c r="G48" s="10" t="n">
        <v>5</v>
      </c>
      <c r="H48" s="10" t="n">
        <v>0</v>
      </c>
      <c r="I48" s="10" t="n">
        <v>1</v>
      </c>
      <c r="J48" s="10" t="n">
        <v>9</v>
      </c>
      <c r="K48" s="10" t="n">
        <v>3</v>
      </c>
      <c r="L48" s="10" t="n">
        <v>4</v>
      </c>
      <c r="M48" s="10" t="n">
        <v>9</v>
      </c>
      <c r="N48" s="10" t="n">
        <v>2</v>
      </c>
      <c r="O48" s="10" t="n">
        <v>3.33</v>
      </c>
      <c r="P48" s="10" t="n">
        <v>5.33</v>
      </c>
      <c r="Q48" s="8"/>
    </row>
    <row r="49" customFormat="false" ht="15" hidden="false" customHeight="false" outlineLevel="0" collapsed="false">
      <c r="A49" s="11" t="n">
        <v>46277</v>
      </c>
      <c r="B49" s="12" t="s">
        <v>83</v>
      </c>
      <c r="C49" s="13" t="s">
        <v>36</v>
      </c>
      <c r="D49" s="13" t="s">
        <v>37</v>
      </c>
      <c r="E49" s="14" t="n">
        <v>2</v>
      </c>
      <c r="F49" s="14" t="n">
        <v>2</v>
      </c>
      <c r="G49" s="14" t="n">
        <v>4</v>
      </c>
      <c r="H49" s="14" t="n">
        <v>3</v>
      </c>
      <c r="I49" s="14" t="n">
        <v>0</v>
      </c>
      <c r="J49" s="14" t="n">
        <v>3</v>
      </c>
      <c r="K49" s="14" t="n">
        <v>5</v>
      </c>
      <c r="L49" s="14" t="n">
        <v>3</v>
      </c>
      <c r="M49" s="14" t="n">
        <v>9</v>
      </c>
      <c r="N49" s="14" t="n">
        <v>2.67</v>
      </c>
      <c r="O49" s="14" t="n">
        <v>2</v>
      </c>
      <c r="P49" s="14" t="n">
        <v>5.67</v>
      </c>
      <c r="Q49" s="12" t="n">
        <v>9</v>
      </c>
    </row>
    <row r="50" customFormat="false" ht="15" hidden="false" customHeight="false" outlineLevel="0" collapsed="false">
      <c r="A50" s="11" t="n">
        <v>46278</v>
      </c>
      <c r="B50" s="12" t="s">
        <v>84</v>
      </c>
      <c r="C50" s="13" t="s">
        <v>39</v>
      </c>
      <c r="D50" s="13" t="s">
        <v>37</v>
      </c>
      <c r="E50" s="14" t="n">
        <v>4</v>
      </c>
      <c r="F50" s="14" t="n">
        <v>4</v>
      </c>
      <c r="G50" s="14" t="n">
        <v>6</v>
      </c>
      <c r="H50" s="14" t="n">
        <v>1</v>
      </c>
      <c r="I50" s="14" t="n">
        <v>3</v>
      </c>
      <c r="J50" s="14" t="n">
        <v>1</v>
      </c>
      <c r="K50" s="14" t="n">
        <v>8</v>
      </c>
      <c r="L50" s="14" t="n">
        <v>3</v>
      </c>
      <c r="M50" s="14" t="n">
        <v>4</v>
      </c>
      <c r="N50" s="14" t="n">
        <v>4.67</v>
      </c>
      <c r="O50" s="14" t="n">
        <v>1.67</v>
      </c>
      <c r="P50" s="14" t="n">
        <v>5</v>
      </c>
      <c r="Q50" s="12" t="n">
        <v>9</v>
      </c>
    </row>
    <row r="51" customFormat="false" ht="15" hidden="false" customHeight="false" outlineLevel="0" collapsed="false">
      <c r="A51" s="7" t="n">
        <v>46279</v>
      </c>
      <c r="B51" s="8" t="s">
        <v>85</v>
      </c>
      <c r="C51" s="9" t="s">
        <v>41</v>
      </c>
      <c r="D51" s="9" t="s">
        <v>30</v>
      </c>
      <c r="E51" s="10" t="n">
        <v>8</v>
      </c>
      <c r="F51" s="10" t="n">
        <v>8</v>
      </c>
      <c r="G51" s="10" t="n">
        <v>8</v>
      </c>
      <c r="H51" s="10" t="n">
        <v>7</v>
      </c>
      <c r="I51" s="10" t="n">
        <v>8</v>
      </c>
      <c r="J51" s="10" t="n">
        <v>5</v>
      </c>
      <c r="K51" s="10" t="n">
        <v>6</v>
      </c>
      <c r="L51" s="10" t="n">
        <v>8</v>
      </c>
      <c r="M51" s="10" t="n">
        <v>5</v>
      </c>
      <c r="N51" s="10" t="n">
        <v>8</v>
      </c>
      <c r="O51" s="10" t="n">
        <v>6.67</v>
      </c>
      <c r="P51" s="10" t="n">
        <v>6.33</v>
      </c>
      <c r="Q51" s="8"/>
    </row>
    <row r="52" customFormat="false" ht="15" hidden="false" customHeight="false" outlineLevel="0" collapsed="false">
      <c r="A52" s="7" t="n">
        <v>46280</v>
      </c>
      <c r="B52" s="8" t="s">
        <v>86</v>
      </c>
      <c r="C52" s="9" t="s">
        <v>43</v>
      </c>
      <c r="D52" s="9" t="s">
        <v>30</v>
      </c>
      <c r="E52" s="10" t="n">
        <v>8</v>
      </c>
      <c r="F52" s="10"/>
      <c r="G52" s="10" t="n">
        <v>8</v>
      </c>
      <c r="H52" s="10" t="n">
        <v>7</v>
      </c>
      <c r="I52" s="10" t="n">
        <v>9</v>
      </c>
      <c r="J52" s="10" t="n">
        <v>6</v>
      </c>
      <c r="K52" s="10"/>
      <c r="L52" s="10"/>
      <c r="M52" s="10"/>
      <c r="N52" s="10" t="n">
        <v>8</v>
      </c>
      <c r="O52" s="10" t="n">
        <v>7.33</v>
      </c>
      <c r="P52" s="10"/>
      <c r="Q52" s="8"/>
    </row>
    <row r="53" customFormat="false" ht="15" hidden="false" customHeight="false" outlineLevel="0" collapsed="false">
      <c r="A53" s="7" t="n">
        <v>46281</v>
      </c>
      <c r="B53" s="8" t="s">
        <v>87</v>
      </c>
      <c r="C53" s="9" t="s">
        <v>29</v>
      </c>
      <c r="D53" s="9" t="s">
        <v>30</v>
      </c>
      <c r="E53" s="10" t="n">
        <v>0</v>
      </c>
      <c r="F53" s="10"/>
      <c r="G53" s="10" t="n">
        <v>0</v>
      </c>
      <c r="H53" s="10" t="n">
        <v>0</v>
      </c>
      <c r="I53" s="10" t="n">
        <v>0</v>
      </c>
      <c r="J53" s="10" t="n">
        <v>7</v>
      </c>
      <c r="K53" s="10"/>
      <c r="L53" s="10"/>
      <c r="M53" s="10"/>
      <c r="N53" s="10" t="n">
        <v>0</v>
      </c>
      <c r="O53" s="10" t="n">
        <v>2.33</v>
      </c>
      <c r="P53" s="10"/>
      <c r="Q53" s="8"/>
    </row>
    <row r="54" customFormat="false" ht="15" hidden="false" customHeight="false" outlineLevel="0" collapsed="false">
      <c r="A54" s="7" t="n">
        <v>46282</v>
      </c>
      <c r="B54" s="8" t="s">
        <v>88</v>
      </c>
      <c r="C54" s="9" t="s">
        <v>32</v>
      </c>
      <c r="D54" s="9" t="s">
        <v>30</v>
      </c>
      <c r="E54" s="10" t="n">
        <v>5</v>
      </c>
      <c r="F54" s="10"/>
      <c r="G54" s="10" t="n">
        <v>6</v>
      </c>
      <c r="H54" s="10" t="n">
        <v>4</v>
      </c>
      <c r="I54" s="10" t="n">
        <v>8</v>
      </c>
      <c r="J54" s="10" t="n">
        <v>7</v>
      </c>
      <c r="K54" s="10"/>
      <c r="L54" s="10"/>
      <c r="M54" s="10"/>
      <c r="N54" s="10" t="n">
        <v>5.5</v>
      </c>
      <c r="O54" s="10" t="n">
        <v>6.33</v>
      </c>
      <c r="P54" s="10"/>
      <c r="Q54" s="8"/>
    </row>
    <row r="55" customFormat="false" ht="15" hidden="false" customHeight="false" outlineLevel="0" collapsed="false">
      <c r="A55" s="7" t="n">
        <v>46283</v>
      </c>
      <c r="B55" s="8" t="s">
        <v>89</v>
      </c>
      <c r="C55" s="9" t="s">
        <v>34</v>
      </c>
      <c r="D55" s="9" t="s">
        <v>30</v>
      </c>
      <c r="E55" s="10" t="n">
        <v>1</v>
      </c>
      <c r="F55" s="10"/>
      <c r="G55" s="10" t="n">
        <v>8</v>
      </c>
      <c r="H55" s="10" t="n">
        <v>3</v>
      </c>
      <c r="I55" s="10" t="n">
        <v>9</v>
      </c>
      <c r="J55" s="10" t="n">
        <v>8</v>
      </c>
      <c r="K55" s="10"/>
      <c r="L55" s="10"/>
      <c r="M55" s="10"/>
      <c r="N55" s="10" t="n">
        <v>4.5</v>
      </c>
      <c r="O55" s="10" t="n">
        <v>6.67</v>
      </c>
      <c r="P55" s="10"/>
      <c r="Q55" s="8"/>
    </row>
    <row r="56" customFormat="false" ht="15" hidden="false" customHeight="false" outlineLevel="0" collapsed="false">
      <c r="A56" s="11" t="n">
        <v>46284</v>
      </c>
      <c r="B56" s="12" t="s">
        <v>90</v>
      </c>
      <c r="C56" s="13" t="s">
        <v>36</v>
      </c>
      <c r="D56" s="13" t="s">
        <v>37</v>
      </c>
      <c r="E56" s="14" t="n">
        <v>0</v>
      </c>
      <c r="F56" s="14"/>
      <c r="G56" s="14" t="n">
        <v>8</v>
      </c>
      <c r="H56" s="14" t="n">
        <v>0</v>
      </c>
      <c r="I56" s="14" t="n">
        <v>2</v>
      </c>
      <c r="J56" s="14" t="n">
        <v>4</v>
      </c>
      <c r="K56" s="14"/>
      <c r="L56" s="14"/>
      <c r="M56" s="14"/>
      <c r="N56" s="14" t="n">
        <v>4</v>
      </c>
      <c r="O56" s="14" t="n">
        <v>2</v>
      </c>
      <c r="P56" s="14"/>
      <c r="Q56" s="12" t="n">
        <v>9</v>
      </c>
    </row>
    <row r="57" customFormat="false" ht="15" hidden="false" customHeight="false" outlineLevel="0" collapsed="false">
      <c r="A57" s="11" t="n">
        <v>46285</v>
      </c>
      <c r="B57" s="12" t="s">
        <v>91</v>
      </c>
      <c r="C57" s="13" t="s">
        <v>39</v>
      </c>
      <c r="D57" s="13" t="s">
        <v>37</v>
      </c>
      <c r="E57" s="14" t="n">
        <v>0</v>
      </c>
      <c r="F57" s="14"/>
      <c r="G57" s="14" t="n">
        <v>5</v>
      </c>
      <c r="H57" s="14" t="n">
        <v>0</v>
      </c>
      <c r="I57" s="14" t="n">
        <v>0</v>
      </c>
      <c r="J57" s="14" t="n">
        <v>0</v>
      </c>
      <c r="K57" s="14"/>
      <c r="L57" s="14"/>
      <c r="M57" s="14"/>
      <c r="N57" s="14" t="n">
        <v>2.5</v>
      </c>
      <c r="O57" s="14" t="n">
        <v>0</v>
      </c>
      <c r="P57" s="14"/>
      <c r="Q57" s="12" t="n">
        <v>9</v>
      </c>
    </row>
    <row r="58" customFormat="false" ht="15" hidden="false" customHeight="false" outlineLevel="0" collapsed="false">
      <c r="A58" s="11" t="n">
        <v>46286</v>
      </c>
      <c r="B58" s="12" t="s">
        <v>92</v>
      </c>
      <c r="C58" s="13" t="s">
        <v>41</v>
      </c>
      <c r="D58" s="13" t="s">
        <v>93</v>
      </c>
      <c r="E58" s="14" t="n">
        <v>0</v>
      </c>
      <c r="F58" s="14"/>
      <c r="G58" s="14" t="n">
        <v>1</v>
      </c>
      <c r="H58" s="14" t="n">
        <v>0</v>
      </c>
      <c r="I58" s="14" t="n">
        <v>0</v>
      </c>
      <c r="J58" s="14" t="n">
        <v>0</v>
      </c>
      <c r="K58" s="14"/>
      <c r="L58" s="14"/>
      <c r="M58" s="14"/>
      <c r="N58" s="14" t="n">
        <v>0.5</v>
      </c>
      <c r="O58" s="14" t="n">
        <v>0</v>
      </c>
      <c r="P58" s="14"/>
      <c r="Q58" s="12" t="n">
        <v>9</v>
      </c>
    </row>
    <row r="59" customFormat="false" ht="15" hidden="false" customHeight="false" outlineLevel="0" collapsed="false">
      <c r="A59" s="11" t="n">
        <v>46287</v>
      </c>
      <c r="B59" s="12" t="s">
        <v>94</v>
      </c>
      <c r="C59" s="13" t="s">
        <v>43</v>
      </c>
      <c r="D59" s="13" t="s">
        <v>95</v>
      </c>
      <c r="E59" s="14" t="n">
        <v>8</v>
      </c>
      <c r="F59" s="14"/>
      <c r="G59" s="14" t="n">
        <v>9</v>
      </c>
      <c r="H59" s="14" t="n">
        <v>5</v>
      </c>
      <c r="I59" s="14" t="n">
        <v>5</v>
      </c>
      <c r="J59" s="14" t="n">
        <v>4</v>
      </c>
      <c r="K59" s="14"/>
      <c r="L59" s="14"/>
      <c r="M59" s="14"/>
      <c r="N59" s="14" t="n">
        <v>8.5</v>
      </c>
      <c r="O59" s="14" t="n">
        <v>4.67</v>
      </c>
      <c r="P59" s="14"/>
      <c r="Q59" s="12" t="n">
        <v>9</v>
      </c>
    </row>
    <row r="60" customFormat="false" ht="15" hidden="false" customHeight="false" outlineLevel="0" collapsed="false">
      <c r="A60" s="11" t="n">
        <v>46288</v>
      </c>
      <c r="B60" s="12" t="s">
        <v>96</v>
      </c>
      <c r="C60" s="13" t="s">
        <v>29</v>
      </c>
      <c r="D60" s="13" t="s">
        <v>97</v>
      </c>
      <c r="E60" s="14" t="n">
        <v>0</v>
      </c>
      <c r="F60" s="14" t="n">
        <v>1</v>
      </c>
      <c r="G60" s="14" t="n">
        <v>4</v>
      </c>
      <c r="H60" s="14" t="n">
        <v>0</v>
      </c>
      <c r="I60" s="14" t="n">
        <v>0</v>
      </c>
      <c r="J60" s="14" t="n">
        <v>1</v>
      </c>
      <c r="K60" s="14"/>
      <c r="L60" s="14"/>
      <c r="M60" s="14"/>
      <c r="N60" s="14" t="n">
        <v>1.67</v>
      </c>
      <c r="O60" s="14" t="n">
        <v>0.33</v>
      </c>
      <c r="P60" s="14"/>
      <c r="Q60" s="12" t="n">
        <v>9</v>
      </c>
    </row>
    <row r="61" customFormat="false" ht="15" hidden="false" customHeight="false" outlineLevel="0" collapsed="false">
      <c r="A61" s="7" t="n">
        <v>46289</v>
      </c>
      <c r="B61" s="8" t="s">
        <v>98</v>
      </c>
      <c r="C61" s="9" t="s">
        <v>32</v>
      </c>
      <c r="D61" s="9" t="s">
        <v>30</v>
      </c>
      <c r="E61" s="10" t="n">
        <v>9</v>
      </c>
      <c r="F61" s="10" t="n">
        <v>7</v>
      </c>
      <c r="G61" s="10" t="n">
        <v>9</v>
      </c>
      <c r="H61" s="10" t="n">
        <v>7</v>
      </c>
      <c r="I61" s="10" t="n">
        <v>9</v>
      </c>
      <c r="J61" s="10" t="n">
        <v>9</v>
      </c>
      <c r="K61" s="10"/>
      <c r="L61" s="10"/>
      <c r="M61" s="10"/>
      <c r="N61" s="10" t="n">
        <v>8.33</v>
      </c>
      <c r="O61" s="10" t="n">
        <v>8.33</v>
      </c>
      <c r="P61" s="10"/>
      <c r="Q61" s="8"/>
    </row>
    <row r="62" customFormat="false" ht="15" hidden="false" customHeight="false" outlineLevel="0" collapsed="false">
      <c r="A62" s="7" t="n">
        <v>46290</v>
      </c>
      <c r="B62" s="8" t="s">
        <v>99</v>
      </c>
      <c r="C62" s="9" t="s">
        <v>34</v>
      </c>
      <c r="D62" s="9" t="s">
        <v>30</v>
      </c>
      <c r="E62" s="10" t="n">
        <v>9</v>
      </c>
      <c r="F62" s="10" t="n">
        <v>9</v>
      </c>
      <c r="G62" s="10" t="n">
        <v>8</v>
      </c>
      <c r="H62" s="10" t="n">
        <v>8</v>
      </c>
      <c r="I62" s="10" t="n">
        <v>7</v>
      </c>
      <c r="J62" s="10" t="n">
        <v>9</v>
      </c>
      <c r="K62" s="10"/>
      <c r="L62" s="10"/>
      <c r="M62" s="10"/>
      <c r="N62" s="10" t="n">
        <v>8.67</v>
      </c>
      <c r="O62" s="10" t="n">
        <v>8</v>
      </c>
      <c r="P62" s="10"/>
      <c r="Q62" s="8"/>
    </row>
    <row r="63" customFormat="false" ht="15" hidden="false" customHeight="false" outlineLevel="0" collapsed="false">
      <c r="A63" s="11" t="n">
        <v>46291</v>
      </c>
      <c r="B63" s="12" t="s">
        <v>100</v>
      </c>
      <c r="C63" s="13" t="s">
        <v>36</v>
      </c>
      <c r="D63" s="13" t="s">
        <v>37</v>
      </c>
      <c r="E63" s="14" t="n">
        <v>0</v>
      </c>
      <c r="F63" s="14" t="n">
        <v>1</v>
      </c>
      <c r="G63" s="14" t="n">
        <v>5</v>
      </c>
      <c r="H63" s="14" t="n">
        <v>0</v>
      </c>
      <c r="I63" s="14" t="n">
        <v>0</v>
      </c>
      <c r="J63" s="14" t="n">
        <v>2</v>
      </c>
      <c r="K63" s="14"/>
      <c r="L63" s="14"/>
      <c r="M63" s="14"/>
      <c r="N63" s="14" t="n">
        <v>2</v>
      </c>
      <c r="O63" s="14" t="n">
        <v>0.67</v>
      </c>
      <c r="P63" s="14"/>
      <c r="Q63" s="12" t="n">
        <v>9</v>
      </c>
    </row>
    <row r="64" customFormat="false" ht="15" hidden="false" customHeight="false" outlineLevel="0" collapsed="false">
      <c r="A64" s="11" t="n">
        <v>46292</v>
      </c>
      <c r="B64" s="12" t="s">
        <v>101</v>
      </c>
      <c r="C64" s="13" t="s">
        <v>39</v>
      </c>
      <c r="D64" s="13" t="s">
        <v>37</v>
      </c>
      <c r="E64" s="14" t="n">
        <v>1</v>
      </c>
      <c r="F64" s="14" t="n">
        <v>3</v>
      </c>
      <c r="G64" s="14" t="n">
        <v>8</v>
      </c>
      <c r="H64" s="14" t="n">
        <v>0</v>
      </c>
      <c r="I64" s="14" t="n">
        <v>1</v>
      </c>
      <c r="J64" s="14" t="n">
        <v>1</v>
      </c>
      <c r="K64" s="14"/>
      <c r="L64" s="14"/>
      <c r="M64" s="14"/>
      <c r="N64" s="14" t="n">
        <v>4</v>
      </c>
      <c r="O64" s="14" t="n">
        <v>0.67</v>
      </c>
      <c r="P64" s="14"/>
      <c r="Q64" s="12" t="n">
        <v>9</v>
      </c>
    </row>
    <row r="65" customFormat="false" ht="15" hidden="false" customHeight="false" outlineLevel="0" collapsed="false">
      <c r="A65" s="7" t="n">
        <v>46293</v>
      </c>
      <c r="B65" s="8" t="s">
        <v>102</v>
      </c>
      <c r="C65" s="9" t="s">
        <v>41</v>
      </c>
      <c r="D65" s="9" t="s">
        <v>30</v>
      </c>
      <c r="E65" s="10" t="n">
        <v>3</v>
      </c>
      <c r="F65" s="10" t="n">
        <v>6</v>
      </c>
      <c r="G65" s="10" t="n">
        <v>6</v>
      </c>
      <c r="H65" s="10" t="n">
        <v>4</v>
      </c>
      <c r="I65" s="10" t="n">
        <v>6</v>
      </c>
      <c r="J65" s="10" t="n">
        <v>5</v>
      </c>
      <c r="K65" s="10"/>
      <c r="L65" s="10"/>
      <c r="M65" s="10"/>
      <c r="N65" s="10" t="n">
        <v>5</v>
      </c>
      <c r="O65" s="10" t="n">
        <v>5</v>
      </c>
      <c r="P65" s="10"/>
      <c r="Q65" s="8"/>
    </row>
    <row r="66" customFormat="false" ht="15" hidden="false" customHeight="false" outlineLevel="0" collapsed="false">
      <c r="A66" s="7" t="n">
        <v>46294</v>
      </c>
      <c r="B66" s="8" t="s">
        <v>103</v>
      </c>
      <c r="C66" s="9" t="s">
        <v>43</v>
      </c>
      <c r="D66" s="9" t="s">
        <v>30</v>
      </c>
      <c r="E66" s="10" t="n">
        <v>3</v>
      </c>
      <c r="F66" s="10" t="n">
        <v>1</v>
      </c>
      <c r="G66" s="10" t="n">
        <v>0</v>
      </c>
      <c r="H66" s="10" t="n">
        <v>2</v>
      </c>
      <c r="I66" s="10" t="n">
        <v>3</v>
      </c>
      <c r="J66" s="10" t="n">
        <v>0</v>
      </c>
      <c r="K66" s="10"/>
      <c r="L66" s="10"/>
      <c r="M66" s="10"/>
      <c r="N66" s="10" t="n">
        <v>1.33</v>
      </c>
      <c r="O66" s="10" t="n">
        <v>1.67</v>
      </c>
      <c r="P66" s="10"/>
      <c r="Q66" s="8"/>
    </row>
    <row r="67" customFormat="false" ht="15" hidden="false" customHeight="false" outlineLevel="0" collapsed="false">
      <c r="A67" s="7" t="n">
        <v>46295</v>
      </c>
      <c r="B67" s="8" t="s">
        <v>104</v>
      </c>
      <c r="C67" s="9" t="s">
        <v>29</v>
      </c>
      <c r="D67" s="9" t="s">
        <v>30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1</v>
      </c>
      <c r="J67" s="10" t="n">
        <v>8</v>
      </c>
      <c r="K67" s="10"/>
      <c r="L67" s="10"/>
      <c r="M67" s="10"/>
      <c r="N67" s="10" t="n">
        <v>0</v>
      </c>
      <c r="O67" s="10" t="n">
        <v>3</v>
      </c>
      <c r="P67" s="10"/>
      <c r="Q67" s="8"/>
    </row>
    <row r="68" customFormat="false" ht="15" hidden="false" customHeight="false" outlineLevel="0" collapsed="false">
      <c r="A68" s="7" t="n">
        <v>46296</v>
      </c>
      <c r="B68" s="8" t="s">
        <v>105</v>
      </c>
      <c r="C68" s="9" t="s">
        <v>32</v>
      </c>
      <c r="D68" s="9" t="s">
        <v>30</v>
      </c>
      <c r="E68" s="10" t="n">
        <v>7</v>
      </c>
      <c r="F68" s="10" t="n">
        <v>7</v>
      </c>
      <c r="G68" s="10" t="n">
        <v>8</v>
      </c>
      <c r="H68" s="10" t="n">
        <v>9</v>
      </c>
      <c r="I68" s="10" t="n">
        <v>9</v>
      </c>
      <c r="J68" s="10" t="n">
        <v>8</v>
      </c>
      <c r="K68" s="10"/>
      <c r="L68" s="10"/>
      <c r="M68" s="10"/>
      <c r="N68" s="10" t="n">
        <v>7.33</v>
      </c>
      <c r="O68" s="10" t="n">
        <v>8.67</v>
      </c>
      <c r="P68" s="10"/>
      <c r="Q68" s="8"/>
    </row>
    <row r="69" customFormat="false" ht="15" hidden="false" customHeight="false" outlineLevel="0" collapsed="false">
      <c r="A69" s="7" t="n">
        <v>46297</v>
      </c>
      <c r="B69" s="8" t="s">
        <v>106</v>
      </c>
      <c r="C69" s="9" t="s">
        <v>34</v>
      </c>
      <c r="D69" s="9" t="s">
        <v>30</v>
      </c>
      <c r="E69" s="10" t="n">
        <v>0</v>
      </c>
      <c r="F69" s="10" t="n">
        <v>2</v>
      </c>
      <c r="G69" s="10" t="n">
        <v>1</v>
      </c>
      <c r="H69" s="10" t="n">
        <v>0</v>
      </c>
      <c r="I69" s="10" t="n">
        <v>3</v>
      </c>
      <c r="J69" s="10" t="n">
        <v>4</v>
      </c>
      <c r="K69" s="10" t="n">
        <v>2</v>
      </c>
      <c r="L69" s="10" t="n">
        <v>2</v>
      </c>
      <c r="M69" s="10" t="n">
        <v>2</v>
      </c>
      <c r="N69" s="10" t="n">
        <v>1</v>
      </c>
      <c r="O69" s="10" t="n">
        <v>2.33</v>
      </c>
      <c r="P69" s="10" t="n">
        <v>2</v>
      </c>
      <c r="Q69" s="8"/>
    </row>
    <row r="70" customFormat="false" ht="15" hidden="false" customHeight="false" outlineLevel="0" collapsed="false">
      <c r="A70" s="11" t="n">
        <v>46298</v>
      </c>
      <c r="B70" s="12" t="s">
        <v>107</v>
      </c>
      <c r="C70" s="13" t="s">
        <v>36</v>
      </c>
      <c r="D70" s="13" t="s">
        <v>37</v>
      </c>
      <c r="E70" s="14" t="n">
        <v>5</v>
      </c>
      <c r="F70" s="14" t="n">
        <v>3</v>
      </c>
      <c r="G70" s="14" t="n">
        <v>3</v>
      </c>
      <c r="H70" s="14" t="n">
        <v>4</v>
      </c>
      <c r="I70" s="14" t="n">
        <v>3</v>
      </c>
      <c r="J70" s="14" t="n">
        <v>3</v>
      </c>
      <c r="K70" s="14" t="n">
        <v>3</v>
      </c>
      <c r="L70" s="14" t="n">
        <v>4</v>
      </c>
      <c r="M70" s="14" t="n">
        <v>6</v>
      </c>
      <c r="N70" s="14" t="n">
        <v>3.67</v>
      </c>
      <c r="O70" s="14" t="n">
        <v>3.33</v>
      </c>
      <c r="P70" s="14" t="n">
        <v>4.33</v>
      </c>
      <c r="Q70" s="12" t="n">
        <v>9</v>
      </c>
    </row>
    <row r="71" customFormat="false" ht="15" hidden="false" customHeight="false" outlineLevel="0" collapsed="false">
      <c r="A71" s="11" t="n">
        <v>46299</v>
      </c>
      <c r="B71" s="12" t="s">
        <v>108</v>
      </c>
      <c r="C71" s="13" t="s">
        <v>39</v>
      </c>
      <c r="D71" s="13" t="s">
        <v>37</v>
      </c>
      <c r="E71" s="14" t="n">
        <v>0</v>
      </c>
      <c r="F71" s="14" t="n">
        <v>0</v>
      </c>
      <c r="G71" s="14" t="n">
        <v>1</v>
      </c>
      <c r="H71" s="14" t="n">
        <v>3</v>
      </c>
      <c r="I71" s="14" t="n">
        <v>1</v>
      </c>
      <c r="J71" s="14" t="n">
        <v>6</v>
      </c>
      <c r="K71" s="14" t="n">
        <v>4</v>
      </c>
      <c r="L71" s="14" t="n">
        <v>5</v>
      </c>
      <c r="M71" s="14" t="n">
        <v>4</v>
      </c>
      <c r="N71" s="14" t="n">
        <v>0.33</v>
      </c>
      <c r="O71" s="14" t="n">
        <v>3.33</v>
      </c>
      <c r="P71" s="14" t="n">
        <v>4.33</v>
      </c>
      <c r="Q71" s="12" t="n">
        <v>9</v>
      </c>
    </row>
    <row r="72" customFormat="false" ht="15" hidden="false" customHeight="false" outlineLevel="0" collapsed="false">
      <c r="A72" s="7" t="n">
        <v>46300</v>
      </c>
      <c r="B72" s="8" t="s">
        <v>109</v>
      </c>
      <c r="C72" s="9" t="s">
        <v>41</v>
      </c>
      <c r="D72" s="9" t="s">
        <v>30</v>
      </c>
      <c r="E72" s="10" t="n">
        <v>0</v>
      </c>
      <c r="F72" s="10" t="n">
        <v>0</v>
      </c>
      <c r="G72" s="10" t="n">
        <v>3</v>
      </c>
      <c r="H72" s="10" t="n">
        <v>0</v>
      </c>
      <c r="I72" s="10" t="n">
        <v>2</v>
      </c>
      <c r="J72" s="10" t="n">
        <v>4</v>
      </c>
      <c r="K72" s="10" t="n">
        <v>6</v>
      </c>
      <c r="L72" s="10" t="n">
        <v>7</v>
      </c>
      <c r="M72" s="10" t="n">
        <v>3</v>
      </c>
      <c r="N72" s="10" t="n">
        <v>1</v>
      </c>
      <c r="O72" s="10" t="n">
        <v>2</v>
      </c>
      <c r="P72" s="10" t="n">
        <v>5.33</v>
      </c>
      <c r="Q72" s="8"/>
    </row>
    <row r="73" customFormat="false" ht="15" hidden="false" customHeight="false" outlineLevel="0" collapsed="false">
      <c r="A73" s="7" t="n">
        <v>46301</v>
      </c>
      <c r="B73" s="8" t="s">
        <v>110</v>
      </c>
      <c r="C73" s="9" t="s">
        <v>43</v>
      </c>
      <c r="D73" s="9" t="s">
        <v>30</v>
      </c>
      <c r="E73" s="10" t="n">
        <v>4</v>
      </c>
      <c r="F73" s="10" t="n">
        <v>6</v>
      </c>
      <c r="G73" s="10" t="n">
        <v>8</v>
      </c>
      <c r="H73" s="10" t="n">
        <v>3</v>
      </c>
      <c r="I73" s="10" t="n">
        <v>8</v>
      </c>
      <c r="J73" s="10" t="n">
        <v>7</v>
      </c>
      <c r="K73" s="10" t="n">
        <v>5</v>
      </c>
      <c r="L73" s="10" t="n">
        <v>9</v>
      </c>
      <c r="M73" s="10" t="n">
        <v>6</v>
      </c>
      <c r="N73" s="10" t="n">
        <v>6</v>
      </c>
      <c r="O73" s="10" t="n">
        <v>6</v>
      </c>
      <c r="P73" s="10" t="n">
        <v>6.67</v>
      </c>
      <c r="Q73" s="8"/>
    </row>
    <row r="74" customFormat="false" ht="15" hidden="false" customHeight="false" outlineLevel="0" collapsed="false">
      <c r="A74" s="7" t="n">
        <v>46302</v>
      </c>
      <c r="B74" s="8" t="s">
        <v>111</v>
      </c>
      <c r="C74" s="9" t="s">
        <v>29</v>
      </c>
      <c r="D74" s="9" t="s">
        <v>30</v>
      </c>
      <c r="E74" s="10" t="n">
        <v>0</v>
      </c>
      <c r="F74" s="10" t="n">
        <v>3</v>
      </c>
      <c r="G74" s="10" t="n">
        <v>4</v>
      </c>
      <c r="H74" s="10" t="n">
        <v>2</v>
      </c>
      <c r="I74" s="10" t="n">
        <v>5</v>
      </c>
      <c r="J74" s="10" t="n">
        <v>6</v>
      </c>
      <c r="K74" s="10" t="n">
        <v>4</v>
      </c>
      <c r="L74" s="10" t="n">
        <v>7</v>
      </c>
      <c r="M74" s="10" t="n">
        <v>7</v>
      </c>
      <c r="N74" s="10" t="n">
        <v>2.33</v>
      </c>
      <c r="O74" s="10" t="n">
        <v>4.33</v>
      </c>
      <c r="P74" s="10" t="n">
        <v>6</v>
      </c>
      <c r="Q74" s="8"/>
    </row>
    <row r="75" customFormat="false" ht="15" hidden="false" customHeight="false" outlineLevel="0" collapsed="false">
      <c r="A75" s="7" t="n">
        <v>46303</v>
      </c>
      <c r="B75" s="8" t="s">
        <v>112</v>
      </c>
      <c r="C75" s="9" t="s">
        <v>32</v>
      </c>
      <c r="D75" s="9" t="s">
        <v>30</v>
      </c>
      <c r="E75" s="10" t="n">
        <v>6</v>
      </c>
      <c r="F75" s="10" t="n">
        <v>6</v>
      </c>
      <c r="G75" s="10" t="n">
        <v>2</v>
      </c>
      <c r="H75" s="10" t="n">
        <v>7</v>
      </c>
      <c r="I75" s="10" t="n">
        <v>7</v>
      </c>
      <c r="J75" s="10" t="n">
        <v>6</v>
      </c>
      <c r="K75" s="10" t="n">
        <v>8</v>
      </c>
      <c r="L75" s="10" t="n">
        <v>9</v>
      </c>
      <c r="M75" s="10" t="n">
        <v>8</v>
      </c>
      <c r="N75" s="10" t="n">
        <v>4.67</v>
      </c>
      <c r="O75" s="10" t="n">
        <v>6.67</v>
      </c>
      <c r="P75" s="10" t="n">
        <v>8.33</v>
      </c>
      <c r="Q75" s="8"/>
    </row>
    <row r="76" customFormat="false" ht="15" hidden="false" customHeight="false" outlineLevel="0" collapsed="false">
      <c r="A76" s="7" t="n">
        <v>46304</v>
      </c>
      <c r="B76" s="8" t="s">
        <v>113</v>
      </c>
      <c r="C76" s="9" t="s">
        <v>34</v>
      </c>
      <c r="D76" s="9" t="s">
        <v>30</v>
      </c>
      <c r="E76" s="10" t="n">
        <v>6</v>
      </c>
      <c r="F76" s="10" t="n">
        <v>6</v>
      </c>
      <c r="G76" s="10" t="n">
        <v>8</v>
      </c>
      <c r="H76" s="10" t="n">
        <v>7</v>
      </c>
      <c r="I76" s="10" t="n">
        <v>7</v>
      </c>
      <c r="J76" s="10" t="n">
        <v>7</v>
      </c>
      <c r="K76" s="10" t="n">
        <v>5</v>
      </c>
      <c r="L76" s="10" t="n">
        <v>8</v>
      </c>
      <c r="M76" s="10" t="n">
        <v>7</v>
      </c>
      <c r="N76" s="10" t="n">
        <v>6.67</v>
      </c>
      <c r="O76" s="10" t="n">
        <v>7</v>
      </c>
      <c r="P76" s="10" t="n">
        <v>6.67</v>
      </c>
      <c r="Q76" s="8"/>
    </row>
    <row r="77" customFormat="false" ht="15" hidden="false" customHeight="false" outlineLevel="0" collapsed="false">
      <c r="A77" s="11" t="n">
        <v>46305</v>
      </c>
      <c r="B77" s="12" t="s">
        <v>114</v>
      </c>
      <c r="C77" s="13" t="s">
        <v>36</v>
      </c>
      <c r="D77" s="13" t="s">
        <v>37</v>
      </c>
      <c r="E77" s="14" t="n">
        <v>6</v>
      </c>
      <c r="F77" s="14" t="n">
        <v>6</v>
      </c>
      <c r="G77" s="14" t="n">
        <v>9</v>
      </c>
      <c r="H77" s="14" t="n">
        <v>7</v>
      </c>
      <c r="I77" s="14" t="n">
        <v>6</v>
      </c>
      <c r="J77" s="14" t="n">
        <v>6</v>
      </c>
      <c r="K77" s="14" t="n">
        <v>6</v>
      </c>
      <c r="L77" s="14" t="n">
        <v>7</v>
      </c>
      <c r="M77" s="14" t="n">
        <v>6</v>
      </c>
      <c r="N77" s="14" t="n">
        <v>7</v>
      </c>
      <c r="O77" s="14" t="n">
        <v>6.33</v>
      </c>
      <c r="P77" s="14" t="n">
        <v>6.33</v>
      </c>
      <c r="Q77" s="12" t="n">
        <v>9</v>
      </c>
    </row>
    <row r="78" customFormat="false" ht="15" hidden="false" customHeight="false" outlineLevel="0" collapsed="false">
      <c r="A78" s="11" t="n">
        <v>46306</v>
      </c>
      <c r="B78" s="12" t="s">
        <v>115</v>
      </c>
      <c r="C78" s="13" t="s">
        <v>39</v>
      </c>
      <c r="D78" s="13" t="s">
        <v>37</v>
      </c>
      <c r="E78" s="14" t="n">
        <v>3</v>
      </c>
      <c r="F78" s="14" t="n">
        <v>7</v>
      </c>
      <c r="G78" s="14" t="n">
        <v>7</v>
      </c>
      <c r="H78" s="14" t="n">
        <v>7</v>
      </c>
      <c r="I78" s="14" t="n">
        <v>6</v>
      </c>
      <c r="J78" s="14" t="n">
        <v>3</v>
      </c>
      <c r="K78" s="14" t="n">
        <v>7</v>
      </c>
      <c r="L78" s="14" t="n">
        <v>7</v>
      </c>
      <c r="M78" s="14" t="n">
        <v>6</v>
      </c>
      <c r="N78" s="14" t="n">
        <v>5.67</v>
      </c>
      <c r="O78" s="14" t="n">
        <v>5.33</v>
      </c>
      <c r="P78" s="14" t="n">
        <v>6.67</v>
      </c>
      <c r="Q78" s="12" t="n">
        <v>9</v>
      </c>
    </row>
    <row r="79" customFormat="false" ht="15" hidden="false" customHeight="false" outlineLevel="0" collapsed="false">
      <c r="A79" s="11" t="n">
        <v>46307</v>
      </c>
      <c r="B79" s="12" t="s">
        <v>116</v>
      </c>
      <c r="C79" s="13" t="s">
        <v>41</v>
      </c>
      <c r="D79" s="13" t="s">
        <v>117</v>
      </c>
      <c r="E79" s="14" t="n">
        <v>5</v>
      </c>
      <c r="F79" s="14" t="n">
        <v>4</v>
      </c>
      <c r="G79" s="14" t="n">
        <v>7</v>
      </c>
      <c r="H79" s="14" t="n">
        <v>6</v>
      </c>
      <c r="I79" s="14" t="n">
        <v>4</v>
      </c>
      <c r="J79" s="14" t="n">
        <v>6</v>
      </c>
      <c r="K79" s="14" t="n">
        <v>7</v>
      </c>
      <c r="L79" s="14" t="n">
        <v>7</v>
      </c>
      <c r="M79" s="14" t="n">
        <v>6</v>
      </c>
      <c r="N79" s="14" t="n">
        <v>5.33</v>
      </c>
      <c r="O79" s="14" t="n">
        <v>5.33</v>
      </c>
      <c r="P79" s="14" t="n">
        <v>6.67</v>
      </c>
      <c r="Q79" s="12" t="n">
        <v>9</v>
      </c>
    </row>
    <row r="80" customFormat="false" ht="15" hidden="false" customHeight="false" outlineLevel="0" collapsed="false">
      <c r="A80" s="7" t="n">
        <v>46308</v>
      </c>
      <c r="B80" s="8" t="s">
        <v>118</v>
      </c>
      <c r="C80" s="9" t="s">
        <v>43</v>
      </c>
      <c r="D80" s="9" t="s">
        <v>30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13" min="3" style="0" width="9"/>
  </cols>
  <sheetData>
    <row r="1" customFormat="false" ht="1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3" customFormat="false" ht="30" hidden="false" customHeight="true" outlineLevel="0" collapsed="false">
      <c r="A3" s="5" t="s">
        <v>11</v>
      </c>
      <c r="B3" s="5" t="s">
        <v>12</v>
      </c>
      <c r="C3" s="5" t="s">
        <v>13</v>
      </c>
      <c r="D3" s="5" t="s">
        <v>14</v>
      </c>
      <c r="E3" s="6" t="s">
        <v>121</v>
      </c>
      <c r="F3" s="6" t="s">
        <v>122</v>
      </c>
      <c r="G3" s="6" t="s">
        <v>123</v>
      </c>
      <c r="H3" s="6" t="s">
        <v>124</v>
      </c>
      <c r="I3" s="6" t="s">
        <v>125</v>
      </c>
      <c r="J3" s="6" t="s">
        <v>126</v>
      </c>
      <c r="K3" s="5" t="s">
        <v>25</v>
      </c>
      <c r="L3" s="5" t="s">
        <v>26</v>
      </c>
      <c r="M3" s="5" t="s">
        <v>27</v>
      </c>
    </row>
    <row r="4" customFormat="false" ht="15" hidden="false" customHeight="false" outlineLevel="0" collapsed="false">
      <c r="A4" s="7" t="n">
        <v>46232</v>
      </c>
      <c r="B4" s="8" t="s">
        <v>28</v>
      </c>
      <c r="C4" s="9" t="s">
        <v>29</v>
      </c>
      <c r="D4" s="9" t="s">
        <v>30</v>
      </c>
      <c r="E4" s="10"/>
      <c r="F4" s="10"/>
      <c r="G4" s="10"/>
      <c r="H4" s="10"/>
      <c r="I4" s="10"/>
      <c r="J4" s="10"/>
      <c r="K4" s="10"/>
      <c r="L4" s="10"/>
      <c r="M4" s="8"/>
    </row>
    <row r="5" customFormat="false" ht="15" hidden="false" customHeight="false" outlineLevel="0" collapsed="false">
      <c r="A5" s="7" t="n">
        <v>46233</v>
      </c>
      <c r="B5" s="8" t="s">
        <v>31</v>
      </c>
      <c r="C5" s="9" t="s">
        <v>32</v>
      </c>
      <c r="D5" s="9" t="s">
        <v>30</v>
      </c>
      <c r="E5" s="10" t="n">
        <v>8</v>
      </c>
      <c r="F5" s="10" t="n">
        <v>9</v>
      </c>
      <c r="G5" s="10" t="n">
        <v>8</v>
      </c>
      <c r="H5" s="10" t="n">
        <v>8</v>
      </c>
      <c r="I5" s="10" t="n">
        <v>8</v>
      </c>
      <c r="J5" s="10" t="n">
        <v>8</v>
      </c>
      <c r="K5" s="10" t="n">
        <v>8.33</v>
      </c>
      <c r="L5" s="10" t="n">
        <v>8</v>
      </c>
      <c r="M5" s="8"/>
    </row>
    <row r="6" customFormat="false" ht="15" hidden="false" customHeight="false" outlineLevel="0" collapsed="false">
      <c r="A6" s="7" t="n">
        <v>46234</v>
      </c>
      <c r="B6" s="8" t="s">
        <v>33</v>
      </c>
      <c r="C6" s="9" t="s">
        <v>34</v>
      </c>
      <c r="D6" s="9" t="s">
        <v>30</v>
      </c>
      <c r="E6" s="10" t="n">
        <v>6</v>
      </c>
      <c r="F6" s="10" t="n">
        <v>8</v>
      </c>
      <c r="G6" s="10" t="n">
        <v>8</v>
      </c>
      <c r="H6" s="10" t="n">
        <v>6</v>
      </c>
      <c r="I6" s="10" t="n">
        <v>8</v>
      </c>
      <c r="J6" s="10" t="n">
        <v>9</v>
      </c>
      <c r="K6" s="10" t="n">
        <v>7.33</v>
      </c>
      <c r="L6" s="10" t="n">
        <v>7.67</v>
      </c>
      <c r="M6" s="8"/>
    </row>
    <row r="7" customFormat="false" ht="15" hidden="false" customHeight="false" outlineLevel="0" collapsed="false">
      <c r="A7" s="11" t="n">
        <v>46235</v>
      </c>
      <c r="B7" s="12" t="s">
        <v>35</v>
      </c>
      <c r="C7" s="13" t="s">
        <v>36</v>
      </c>
      <c r="D7" s="13" t="s">
        <v>37</v>
      </c>
      <c r="E7" s="14"/>
      <c r="F7" s="14"/>
      <c r="G7" s="14"/>
      <c r="H7" s="14"/>
      <c r="I7" s="14"/>
      <c r="J7" s="14"/>
      <c r="K7" s="14"/>
      <c r="L7" s="14"/>
      <c r="M7" s="12" t="n">
        <v>9</v>
      </c>
    </row>
    <row r="8" customFormat="false" ht="15" hidden="false" customHeight="false" outlineLevel="0" collapsed="false">
      <c r="A8" s="11" t="n">
        <v>46236</v>
      </c>
      <c r="B8" s="12" t="s">
        <v>38</v>
      </c>
      <c r="C8" s="13" t="s">
        <v>39</v>
      </c>
      <c r="D8" s="13" t="s">
        <v>37</v>
      </c>
      <c r="E8" s="14"/>
      <c r="F8" s="14"/>
      <c r="G8" s="14"/>
      <c r="H8" s="14"/>
      <c r="I8" s="14"/>
      <c r="J8" s="14"/>
      <c r="K8" s="14"/>
      <c r="L8" s="14"/>
      <c r="M8" s="12" t="n">
        <v>9</v>
      </c>
    </row>
    <row r="9" customFormat="false" ht="15" hidden="false" customHeight="false" outlineLevel="0" collapsed="false">
      <c r="A9" s="7" t="n">
        <v>46237</v>
      </c>
      <c r="B9" s="8" t="s">
        <v>40</v>
      </c>
      <c r="C9" s="9" t="s">
        <v>41</v>
      </c>
      <c r="D9" s="9" t="s">
        <v>30</v>
      </c>
      <c r="E9" s="10" t="n">
        <v>7</v>
      </c>
      <c r="F9" s="10" t="n">
        <v>9</v>
      </c>
      <c r="G9" s="10" t="n">
        <v>8</v>
      </c>
      <c r="H9" s="10" t="n">
        <v>5</v>
      </c>
      <c r="I9" s="10" t="n">
        <v>9</v>
      </c>
      <c r="J9" s="10" t="n">
        <v>7</v>
      </c>
      <c r="K9" s="10" t="n">
        <v>8</v>
      </c>
      <c r="L9" s="10" t="n">
        <v>7</v>
      </c>
      <c r="M9" s="8"/>
    </row>
    <row r="10" customFormat="false" ht="15" hidden="false" customHeight="false" outlineLevel="0" collapsed="false">
      <c r="A10" s="7" t="n">
        <v>46238</v>
      </c>
      <c r="B10" s="8" t="s">
        <v>42</v>
      </c>
      <c r="C10" s="9" t="s">
        <v>43</v>
      </c>
      <c r="D10" s="9" t="s">
        <v>30</v>
      </c>
      <c r="E10" s="10" t="n">
        <v>6</v>
      </c>
      <c r="F10" s="10" t="n">
        <v>8</v>
      </c>
      <c r="G10" s="10" t="n">
        <v>6</v>
      </c>
      <c r="H10" s="10" t="n">
        <v>4</v>
      </c>
      <c r="I10" s="10" t="n">
        <v>6</v>
      </c>
      <c r="J10" s="10" t="n">
        <v>7</v>
      </c>
      <c r="K10" s="10" t="n">
        <v>6.67</v>
      </c>
      <c r="L10" s="10" t="n">
        <v>5.67</v>
      </c>
      <c r="M10" s="8"/>
    </row>
    <row r="11" customFormat="false" ht="15" hidden="false" customHeight="false" outlineLevel="0" collapsed="false">
      <c r="A11" s="7" t="n">
        <v>46239</v>
      </c>
      <c r="B11" s="8" t="s">
        <v>44</v>
      </c>
      <c r="C11" s="9" t="s">
        <v>29</v>
      </c>
      <c r="D11" s="9" t="s">
        <v>30</v>
      </c>
      <c r="E11" s="10" t="n">
        <v>2</v>
      </c>
      <c r="F11" s="10" t="n">
        <v>7</v>
      </c>
      <c r="G11" s="10" t="n">
        <v>7</v>
      </c>
      <c r="H11" s="10" t="n">
        <v>6</v>
      </c>
      <c r="I11" s="10" t="n">
        <v>5</v>
      </c>
      <c r="J11" s="10" t="n">
        <v>8</v>
      </c>
      <c r="K11" s="10" t="n">
        <v>5.33</v>
      </c>
      <c r="L11" s="10" t="n">
        <v>6.33</v>
      </c>
      <c r="M11" s="8"/>
    </row>
    <row r="12" customFormat="false" ht="15" hidden="false" customHeight="false" outlineLevel="0" collapsed="false">
      <c r="A12" s="7" t="n">
        <v>46240</v>
      </c>
      <c r="B12" s="8" t="s">
        <v>45</v>
      </c>
      <c r="C12" s="9" t="s">
        <v>32</v>
      </c>
      <c r="D12" s="9" t="s">
        <v>30</v>
      </c>
      <c r="E12" s="10" t="n">
        <v>8</v>
      </c>
      <c r="F12" s="10" t="n">
        <v>9</v>
      </c>
      <c r="G12" s="10" t="n">
        <v>7</v>
      </c>
      <c r="H12" s="10" t="n">
        <v>7</v>
      </c>
      <c r="I12" s="10" t="n">
        <v>7</v>
      </c>
      <c r="J12" s="10" t="n">
        <v>8</v>
      </c>
      <c r="K12" s="10" t="n">
        <v>8</v>
      </c>
      <c r="L12" s="10" t="n">
        <v>7.33</v>
      </c>
      <c r="M12" s="8"/>
    </row>
    <row r="13" customFormat="false" ht="15" hidden="false" customHeight="false" outlineLevel="0" collapsed="false">
      <c r="A13" s="7" t="n">
        <v>46241</v>
      </c>
      <c r="B13" s="8" t="s">
        <v>46</v>
      </c>
      <c r="C13" s="9" t="s">
        <v>34</v>
      </c>
      <c r="D13" s="9" t="s">
        <v>30</v>
      </c>
      <c r="E13" s="10" t="n">
        <v>8</v>
      </c>
      <c r="F13" s="10" t="n">
        <v>9</v>
      </c>
      <c r="G13" s="10" t="n">
        <v>8</v>
      </c>
      <c r="H13" s="10" t="n">
        <v>7</v>
      </c>
      <c r="I13" s="10" t="n">
        <v>8</v>
      </c>
      <c r="J13" s="10" t="n">
        <v>8</v>
      </c>
      <c r="K13" s="10" t="n">
        <v>8.33</v>
      </c>
      <c r="L13" s="10" t="n">
        <v>7.67</v>
      </c>
      <c r="M13" s="8"/>
    </row>
    <row r="14" customFormat="false" ht="15" hidden="false" customHeight="false" outlineLevel="0" collapsed="false">
      <c r="A14" s="11" t="n">
        <v>46242</v>
      </c>
      <c r="B14" s="12" t="s">
        <v>47</v>
      </c>
      <c r="C14" s="13" t="s">
        <v>36</v>
      </c>
      <c r="D14" s="13" t="s">
        <v>37</v>
      </c>
      <c r="E14" s="14"/>
      <c r="F14" s="14"/>
      <c r="G14" s="14"/>
      <c r="H14" s="14"/>
      <c r="I14" s="14"/>
      <c r="J14" s="14"/>
      <c r="K14" s="14"/>
      <c r="L14" s="14"/>
      <c r="M14" s="12" t="n">
        <v>9</v>
      </c>
    </row>
    <row r="15" customFormat="false" ht="15" hidden="false" customHeight="false" outlineLevel="0" collapsed="false">
      <c r="A15" s="11" t="n">
        <v>46243</v>
      </c>
      <c r="B15" s="12" t="s">
        <v>48</v>
      </c>
      <c r="C15" s="13" t="s">
        <v>39</v>
      </c>
      <c r="D15" s="13" t="s">
        <v>37</v>
      </c>
      <c r="E15" s="14"/>
      <c r="F15" s="14"/>
      <c r="G15" s="14"/>
      <c r="H15" s="14"/>
      <c r="I15" s="14"/>
      <c r="J15" s="14"/>
      <c r="K15" s="14"/>
      <c r="L15" s="14"/>
      <c r="M15" s="12" t="n">
        <v>9</v>
      </c>
    </row>
    <row r="16" customFormat="false" ht="15" hidden="false" customHeight="false" outlineLevel="0" collapsed="false">
      <c r="A16" s="7" t="n">
        <v>46244</v>
      </c>
      <c r="B16" s="8" t="s">
        <v>49</v>
      </c>
      <c r="C16" s="9" t="s">
        <v>41</v>
      </c>
      <c r="D16" s="9" t="s">
        <v>30</v>
      </c>
      <c r="E16" s="10" t="n">
        <v>7</v>
      </c>
      <c r="F16" s="10" t="n">
        <v>0</v>
      </c>
      <c r="G16" s="10" t="n">
        <v>7</v>
      </c>
      <c r="H16" s="10" t="n">
        <v>8</v>
      </c>
      <c r="I16" s="10" t="n">
        <v>7</v>
      </c>
      <c r="J16" s="10" t="n">
        <v>8</v>
      </c>
      <c r="K16" s="10" t="n">
        <v>4.67</v>
      </c>
      <c r="L16" s="10" t="n">
        <v>7.67</v>
      </c>
      <c r="M16" s="8"/>
    </row>
    <row r="17" customFormat="false" ht="15" hidden="false" customHeight="false" outlineLevel="0" collapsed="false">
      <c r="A17" s="11" t="n">
        <v>46245</v>
      </c>
      <c r="B17" s="12" t="s">
        <v>50</v>
      </c>
      <c r="C17" s="13" t="s">
        <v>43</v>
      </c>
      <c r="D17" s="13" t="s">
        <v>51</v>
      </c>
      <c r="E17" s="14"/>
      <c r="F17" s="14"/>
      <c r="G17" s="14"/>
      <c r="H17" s="14"/>
      <c r="I17" s="14"/>
      <c r="J17" s="14"/>
      <c r="K17" s="14"/>
      <c r="L17" s="14"/>
      <c r="M17" s="12" t="n">
        <v>9</v>
      </c>
    </row>
    <row r="18" customFormat="false" ht="15" hidden="false" customHeight="false" outlineLevel="0" collapsed="false">
      <c r="A18" s="7" t="n">
        <v>46246</v>
      </c>
      <c r="B18" s="8" t="s">
        <v>52</v>
      </c>
      <c r="C18" s="9" t="s">
        <v>29</v>
      </c>
      <c r="D18" s="9" t="s">
        <v>30</v>
      </c>
      <c r="E18" s="10" t="n">
        <v>8</v>
      </c>
      <c r="F18" s="10" t="n">
        <v>0</v>
      </c>
      <c r="G18" s="10" t="n">
        <v>7</v>
      </c>
      <c r="H18" s="10" t="n">
        <v>6</v>
      </c>
      <c r="I18" s="10" t="n">
        <v>9</v>
      </c>
      <c r="J18" s="10" t="n">
        <v>8</v>
      </c>
      <c r="K18" s="10" t="n">
        <v>5</v>
      </c>
      <c r="L18" s="10" t="n">
        <v>7.67</v>
      </c>
      <c r="M18" s="8"/>
    </row>
    <row r="19" customFormat="false" ht="15" hidden="false" customHeight="false" outlineLevel="0" collapsed="false">
      <c r="A19" s="7" t="n">
        <v>46247</v>
      </c>
      <c r="B19" s="8" t="s">
        <v>53</v>
      </c>
      <c r="C19" s="9" t="s">
        <v>32</v>
      </c>
      <c r="D19" s="9" t="s">
        <v>30</v>
      </c>
      <c r="E19" s="10" t="n">
        <v>3</v>
      </c>
      <c r="F19" s="10" t="n">
        <v>0</v>
      </c>
      <c r="G19" s="10" t="n">
        <v>8</v>
      </c>
      <c r="H19" s="10" t="n">
        <v>4</v>
      </c>
      <c r="I19" s="10" t="n">
        <v>6</v>
      </c>
      <c r="J19" s="10" t="n">
        <v>8</v>
      </c>
      <c r="K19" s="10" t="n">
        <v>3.67</v>
      </c>
      <c r="L19" s="10" t="n">
        <v>6</v>
      </c>
      <c r="M19" s="8"/>
    </row>
    <row r="20" customFormat="false" ht="15" hidden="false" customHeight="false" outlineLevel="0" collapsed="false">
      <c r="A20" s="7" t="n">
        <v>46248</v>
      </c>
      <c r="B20" s="8" t="s">
        <v>54</v>
      </c>
      <c r="C20" s="9" t="s">
        <v>34</v>
      </c>
      <c r="D20" s="9" t="s">
        <v>30</v>
      </c>
      <c r="E20" s="10" t="n">
        <v>3</v>
      </c>
      <c r="F20" s="10"/>
      <c r="G20" s="10" t="n">
        <v>4</v>
      </c>
      <c r="H20" s="10" t="n">
        <v>5</v>
      </c>
      <c r="I20" s="10" t="n">
        <v>5</v>
      </c>
      <c r="J20" s="10" t="n">
        <v>6</v>
      </c>
      <c r="K20" s="10" t="n">
        <v>3.5</v>
      </c>
      <c r="L20" s="10" t="n">
        <v>5.33</v>
      </c>
      <c r="M20" s="8"/>
    </row>
    <row r="21" customFormat="false" ht="15" hidden="false" customHeight="false" outlineLevel="0" collapsed="false">
      <c r="A21" s="11" t="n">
        <v>46249</v>
      </c>
      <c r="B21" s="12" t="s">
        <v>55</v>
      </c>
      <c r="C21" s="13" t="s">
        <v>36</v>
      </c>
      <c r="D21" s="13" t="s">
        <v>37</v>
      </c>
      <c r="E21" s="14"/>
      <c r="F21" s="14"/>
      <c r="G21" s="14"/>
      <c r="H21" s="14"/>
      <c r="I21" s="14"/>
      <c r="J21" s="14"/>
      <c r="K21" s="14"/>
      <c r="L21" s="14"/>
      <c r="M21" s="12" t="n">
        <v>9</v>
      </c>
    </row>
    <row r="22" customFormat="false" ht="15" hidden="false" customHeight="false" outlineLevel="0" collapsed="false">
      <c r="A22" s="11" t="n">
        <v>46250</v>
      </c>
      <c r="B22" s="12" t="s">
        <v>56</v>
      </c>
      <c r="C22" s="13" t="s">
        <v>39</v>
      </c>
      <c r="D22" s="13" t="s">
        <v>37</v>
      </c>
      <c r="E22" s="14"/>
      <c r="F22" s="14"/>
      <c r="G22" s="14"/>
      <c r="H22" s="14"/>
      <c r="I22" s="14"/>
      <c r="J22" s="14"/>
      <c r="K22" s="14"/>
      <c r="L22" s="14"/>
      <c r="M22" s="12" t="n">
        <v>9</v>
      </c>
    </row>
    <row r="23" customFormat="false" ht="15" hidden="false" customHeight="false" outlineLevel="0" collapsed="false">
      <c r="A23" s="7" t="n">
        <v>46251</v>
      </c>
      <c r="B23" s="8" t="s">
        <v>57</v>
      </c>
      <c r="C23" s="9" t="s">
        <v>41</v>
      </c>
      <c r="D23" s="9" t="s">
        <v>30</v>
      </c>
      <c r="E23" s="10" t="n">
        <v>7</v>
      </c>
      <c r="F23" s="10"/>
      <c r="G23" s="10" t="n">
        <v>6</v>
      </c>
      <c r="H23" s="10" t="n">
        <v>6</v>
      </c>
      <c r="I23" s="10" t="n">
        <v>7</v>
      </c>
      <c r="J23" s="10" t="n">
        <v>4</v>
      </c>
      <c r="K23" s="10" t="n">
        <v>6.5</v>
      </c>
      <c r="L23" s="10" t="n">
        <v>5.67</v>
      </c>
      <c r="M23" s="8"/>
    </row>
    <row r="24" customFormat="false" ht="15" hidden="false" customHeight="false" outlineLevel="0" collapsed="false">
      <c r="A24" s="7" t="n">
        <v>46252</v>
      </c>
      <c r="B24" s="8" t="s">
        <v>58</v>
      </c>
      <c r="C24" s="9" t="s">
        <v>43</v>
      </c>
      <c r="D24" s="9" t="s">
        <v>30</v>
      </c>
      <c r="E24" s="10" t="n">
        <v>7</v>
      </c>
      <c r="F24" s="10"/>
      <c r="G24" s="10" t="n">
        <v>9</v>
      </c>
      <c r="H24" s="10" t="n">
        <v>7</v>
      </c>
      <c r="I24" s="10" t="n">
        <v>7</v>
      </c>
      <c r="J24" s="10" t="n">
        <v>9</v>
      </c>
      <c r="K24" s="10" t="n">
        <v>8</v>
      </c>
      <c r="L24" s="10" t="n">
        <v>7.67</v>
      </c>
      <c r="M24" s="8"/>
    </row>
    <row r="25" customFormat="false" ht="15" hidden="false" customHeight="false" outlineLevel="0" collapsed="false">
      <c r="A25" s="7" t="n">
        <v>46253</v>
      </c>
      <c r="B25" s="8" t="s">
        <v>59</v>
      </c>
      <c r="C25" s="9" t="s">
        <v>29</v>
      </c>
      <c r="D25" s="9" t="s">
        <v>30</v>
      </c>
      <c r="E25" s="10" t="n">
        <v>8</v>
      </c>
      <c r="F25" s="10"/>
      <c r="G25" s="10" t="n">
        <v>7</v>
      </c>
      <c r="H25" s="10" t="n">
        <v>7</v>
      </c>
      <c r="I25" s="10" t="n">
        <v>8</v>
      </c>
      <c r="J25" s="10" t="n">
        <v>8</v>
      </c>
      <c r="K25" s="10" t="n">
        <v>7.5</v>
      </c>
      <c r="L25" s="10" t="n">
        <v>7.67</v>
      </c>
      <c r="M25" s="8"/>
    </row>
    <row r="26" customFormat="false" ht="15" hidden="false" customHeight="false" outlineLevel="0" collapsed="false">
      <c r="A26" s="7" t="n">
        <v>46254</v>
      </c>
      <c r="B26" s="8" t="s">
        <v>60</v>
      </c>
      <c r="C26" s="9" t="s">
        <v>32</v>
      </c>
      <c r="D26" s="9" t="s">
        <v>30</v>
      </c>
      <c r="E26" s="10" t="n">
        <v>8</v>
      </c>
      <c r="F26" s="10"/>
      <c r="G26" s="10" t="n">
        <v>7</v>
      </c>
      <c r="H26" s="10" t="n">
        <v>7</v>
      </c>
      <c r="I26" s="10" t="n">
        <v>8</v>
      </c>
      <c r="J26" s="10" t="n">
        <v>7</v>
      </c>
      <c r="K26" s="10" t="n">
        <v>7.5</v>
      </c>
      <c r="L26" s="10" t="n">
        <v>7.33</v>
      </c>
      <c r="M26" s="8"/>
    </row>
    <row r="27" customFormat="false" ht="15" hidden="false" customHeight="false" outlineLevel="0" collapsed="false">
      <c r="A27" s="7" t="n">
        <v>46255</v>
      </c>
      <c r="B27" s="8" t="s">
        <v>61</v>
      </c>
      <c r="C27" s="9" t="s">
        <v>34</v>
      </c>
      <c r="D27" s="9" t="s">
        <v>30</v>
      </c>
      <c r="E27" s="10" t="n">
        <v>8</v>
      </c>
      <c r="F27" s="10"/>
      <c r="G27" s="10" t="n">
        <v>7</v>
      </c>
      <c r="H27" s="10" t="n">
        <v>7</v>
      </c>
      <c r="I27" s="10" t="n">
        <v>8</v>
      </c>
      <c r="J27" s="10" t="n">
        <v>9</v>
      </c>
      <c r="K27" s="10" t="n">
        <v>7.5</v>
      </c>
      <c r="L27" s="10" t="n">
        <v>8</v>
      </c>
      <c r="M27" s="8"/>
    </row>
    <row r="28" customFormat="false" ht="15" hidden="false" customHeight="false" outlineLevel="0" collapsed="false">
      <c r="A28" s="11" t="n">
        <v>46256</v>
      </c>
      <c r="B28" s="12" t="s">
        <v>62</v>
      </c>
      <c r="C28" s="13" t="s">
        <v>36</v>
      </c>
      <c r="D28" s="13" t="s">
        <v>37</v>
      </c>
      <c r="E28" s="14"/>
      <c r="F28" s="14"/>
      <c r="G28" s="14"/>
      <c r="H28" s="14"/>
      <c r="I28" s="14"/>
      <c r="J28" s="14"/>
      <c r="K28" s="14"/>
      <c r="L28" s="14"/>
      <c r="M28" s="12" t="n">
        <v>9</v>
      </c>
    </row>
    <row r="29" customFormat="false" ht="15" hidden="false" customHeight="false" outlineLevel="0" collapsed="false">
      <c r="A29" s="11" t="n">
        <v>46257</v>
      </c>
      <c r="B29" s="12" t="s">
        <v>63</v>
      </c>
      <c r="C29" s="13" t="s">
        <v>39</v>
      </c>
      <c r="D29" s="13" t="s">
        <v>37</v>
      </c>
      <c r="E29" s="14"/>
      <c r="F29" s="14"/>
      <c r="G29" s="14"/>
      <c r="H29" s="14"/>
      <c r="I29" s="14"/>
      <c r="J29" s="14"/>
      <c r="K29" s="14"/>
      <c r="L29" s="14"/>
      <c r="M29" s="12" t="n">
        <v>9</v>
      </c>
    </row>
    <row r="30" customFormat="false" ht="15" hidden="false" customHeight="false" outlineLevel="0" collapsed="false">
      <c r="A30" s="7" t="n">
        <v>46258</v>
      </c>
      <c r="B30" s="8" t="s">
        <v>64</v>
      </c>
      <c r="C30" s="9" t="s">
        <v>41</v>
      </c>
      <c r="D30" s="9" t="s">
        <v>30</v>
      </c>
      <c r="E30" s="10" t="n">
        <v>9</v>
      </c>
      <c r="F30" s="10"/>
      <c r="G30" s="10" t="n">
        <v>7</v>
      </c>
      <c r="H30" s="10" t="n">
        <v>9</v>
      </c>
      <c r="I30" s="10" t="n">
        <v>8</v>
      </c>
      <c r="J30" s="10" t="n">
        <v>8</v>
      </c>
      <c r="K30" s="10" t="n">
        <v>8</v>
      </c>
      <c r="L30" s="10" t="n">
        <v>8.33</v>
      </c>
      <c r="M30" s="8"/>
    </row>
    <row r="31" customFormat="false" ht="15" hidden="false" customHeight="false" outlineLevel="0" collapsed="false">
      <c r="A31" s="7" t="n">
        <v>46259</v>
      </c>
      <c r="B31" s="8" t="s">
        <v>65</v>
      </c>
      <c r="C31" s="9" t="s">
        <v>43</v>
      </c>
      <c r="D31" s="9" t="s">
        <v>30</v>
      </c>
      <c r="E31" s="10" t="n">
        <v>9</v>
      </c>
      <c r="F31" s="10"/>
      <c r="G31" s="10" t="n">
        <v>8</v>
      </c>
      <c r="H31" s="10" t="n">
        <v>9</v>
      </c>
      <c r="I31" s="10" t="n">
        <v>9</v>
      </c>
      <c r="J31" s="10" t="n">
        <v>8</v>
      </c>
      <c r="K31" s="10" t="n">
        <v>8.5</v>
      </c>
      <c r="L31" s="10" t="n">
        <v>8.67</v>
      </c>
      <c r="M31" s="8"/>
    </row>
    <row r="32" customFormat="false" ht="15" hidden="false" customHeight="false" outlineLevel="0" collapsed="false">
      <c r="A32" s="7" t="n">
        <v>46260</v>
      </c>
      <c r="B32" s="8" t="s">
        <v>66</v>
      </c>
      <c r="C32" s="9" t="s">
        <v>29</v>
      </c>
      <c r="D32" s="9" t="s">
        <v>30</v>
      </c>
      <c r="E32" s="10" t="n">
        <v>9</v>
      </c>
      <c r="F32" s="10"/>
      <c r="G32" s="10" t="n">
        <v>8</v>
      </c>
      <c r="H32" s="10" t="n">
        <v>8</v>
      </c>
      <c r="I32" s="10" t="n">
        <v>9</v>
      </c>
      <c r="J32" s="10" t="n">
        <v>9</v>
      </c>
      <c r="K32" s="10" t="n">
        <v>8.5</v>
      </c>
      <c r="L32" s="10" t="n">
        <v>8.67</v>
      </c>
      <c r="M32" s="8"/>
    </row>
    <row r="33" customFormat="false" ht="15" hidden="false" customHeight="false" outlineLevel="0" collapsed="false">
      <c r="A33" s="7" t="n">
        <v>46261</v>
      </c>
      <c r="B33" s="8" t="s">
        <v>67</v>
      </c>
      <c r="C33" s="9" t="s">
        <v>32</v>
      </c>
      <c r="D33" s="9" t="s">
        <v>30</v>
      </c>
      <c r="E33" s="10" t="n">
        <v>6</v>
      </c>
      <c r="F33" s="10"/>
      <c r="G33" s="10" t="n">
        <v>8</v>
      </c>
      <c r="H33" s="10" t="n">
        <v>8</v>
      </c>
      <c r="I33" s="10" t="n">
        <v>7</v>
      </c>
      <c r="J33" s="10" t="n">
        <v>8</v>
      </c>
      <c r="K33" s="10" t="n">
        <v>7</v>
      </c>
      <c r="L33" s="10" t="n">
        <v>7.67</v>
      </c>
      <c r="M33" s="8"/>
    </row>
    <row r="34" customFormat="false" ht="15" hidden="false" customHeight="false" outlineLevel="0" collapsed="false">
      <c r="A34" s="7" t="n">
        <v>46262</v>
      </c>
      <c r="B34" s="8" t="s">
        <v>68</v>
      </c>
      <c r="C34" s="9" t="s">
        <v>34</v>
      </c>
      <c r="D34" s="9" t="s">
        <v>30</v>
      </c>
      <c r="E34" s="10" t="n">
        <v>5</v>
      </c>
      <c r="F34" s="10"/>
      <c r="G34" s="10" t="n">
        <v>7</v>
      </c>
      <c r="H34" s="10" t="n">
        <v>8</v>
      </c>
      <c r="I34" s="10" t="n">
        <v>9</v>
      </c>
      <c r="J34" s="10" t="n">
        <v>9</v>
      </c>
      <c r="K34" s="10" t="n">
        <v>6</v>
      </c>
      <c r="L34" s="10" t="n">
        <v>8.67</v>
      </c>
      <c r="M34" s="8"/>
    </row>
    <row r="35" customFormat="false" ht="15" hidden="false" customHeight="false" outlineLevel="0" collapsed="false">
      <c r="A35" s="11" t="n">
        <v>46263</v>
      </c>
      <c r="B35" s="12" t="s">
        <v>69</v>
      </c>
      <c r="C35" s="13" t="s">
        <v>36</v>
      </c>
      <c r="D35" s="13" t="s">
        <v>37</v>
      </c>
      <c r="E35" s="14"/>
      <c r="F35" s="14"/>
      <c r="G35" s="14"/>
      <c r="H35" s="14"/>
      <c r="I35" s="14"/>
      <c r="J35" s="14"/>
      <c r="K35" s="14"/>
      <c r="L35" s="14"/>
      <c r="M35" s="12" t="n">
        <v>9</v>
      </c>
    </row>
    <row r="36" customFormat="false" ht="15" hidden="false" customHeight="false" outlineLevel="0" collapsed="false">
      <c r="A36" s="11" t="n">
        <v>46264</v>
      </c>
      <c r="B36" s="12" t="s">
        <v>70</v>
      </c>
      <c r="C36" s="13" t="s">
        <v>39</v>
      </c>
      <c r="D36" s="13" t="s">
        <v>37</v>
      </c>
      <c r="E36" s="14"/>
      <c r="F36" s="14"/>
      <c r="G36" s="14"/>
      <c r="H36" s="14"/>
      <c r="I36" s="14"/>
      <c r="J36" s="14"/>
      <c r="K36" s="14"/>
      <c r="L36" s="14"/>
      <c r="M36" s="12" t="n">
        <v>9</v>
      </c>
    </row>
    <row r="37" customFormat="false" ht="15" hidden="false" customHeight="false" outlineLevel="0" collapsed="false">
      <c r="A37" s="7" t="n">
        <v>46265</v>
      </c>
      <c r="B37" s="8" t="s">
        <v>71</v>
      </c>
      <c r="C37" s="9" t="s">
        <v>41</v>
      </c>
      <c r="D37" s="9" t="s">
        <v>30</v>
      </c>
      <c r="E37" s="10" t="n">
        <v>4</v>
      </c>
      <c r="F37" s="10"/>
      <c r="G37" s="10" t="n">
        <v>5</v>
      </c>
      <c r="H37" s="10" t="n">
        <v>4</v>
      </c>
      <c r="I37" s="10"/>
      <c r="J37" s="10" t="n">
        <v>5</v>
      </c>
      <c r="K37" s="10" t="n">
        <v>4.5</v>
      </c>
      <c r="L37" s="10" t="n">
        <v>4.5</v>
      </c>
      <c r="M37" s="8"/>
    </row>
    <row r="38" customFormat="false" ht="15" hidden="false" customHeight="false" outlineLevel="0" collapsed="false">
      <c r="A38" s="7" t="n">
        <v>46266</v>
      </c>
      <c r="B38" s="8" t="s">
        <v>72</v>
      </c>
      <c r="C38" s="9" t="s">
        <v>43</v>
      </c>
      <c r="D38" s="9" t="s">
        <v>30</v>
      </c>
      <c r="E38" s="10" t="n">
        <v>4</v>
      </c>
      <c r="F38" s="10"/>
      <c r="G38" s="10" t="n">
        <v>7</v>
      </c>
      <c r="H38" s="10" t="n">
        <v>3</v>
      </c>
      <c r="I38" s="10"/>
      <c r="J38" s="10" t="n">
        <v>6</v>
      </c>
      <c r="K38" s="10" t="n">
        <v>5.5</v>
      </c>
      <c r="L38" s="10" t="n">
        <v>4.5</v>
      </c>
      <c r="M38" s="8"/>
    </row>
    <row r="39" customFormat="false" ht="15" hidden="false" customHeight="false" outlineLevel="0" collapsed="false">
      <c r="A39" s="7" t="n">
        <v>46267</v>
      </c>
      <c r="B39" s="8" t="s">
        <v>73</v>
      </c>
      <c r="C39" s="9" t="s">
        <v>29</v>
      </c>
      <c r="D39" s="9" t="s">
        <v>30</v>
      </c>
      <c r="E39" s="10" t="n">
        <v>6</v>
      </c>
      <c r="F39" s="10"/>
      <c r="G39" s="10" t="n">
        <v>7</v>
      </c>
      <c r="H39" s="10" t="n">
        <v>7</v>
      </c>
      <c r="I39" s="10"/>
      <c r="J39" s="10" t="n">
        <v>7</v>
      </c>
      <c r="K39" s="10" t="n">
        <v>6.5</v>
      </c>
      <c r="L39" s="10" t="n">
        <v>7</v>
      </c>
      <c r="M39" s="8"/>
    </row>
    <row r="40" customFormat="false" ht="15" hidden="false" customHeight="false" outlineLevel="0" collapsed="false">
      <c r="A40" s="7" t="n">
        <v>46268</v>
      </c>
      <c r="B40" s="8" t="s">
        <v>74</v>
      </c>
      <c r="C40" s="9" t="s">
        <v>32</v>
      </c>
      <c r="D40" s="9" t="s">
        <v>30</v>
      </c>
      <c r="E40" s="10" t="n">
        <v>5</v>
      </c>
      <c r="F40" s="10"/>
      <c r="G40" s="10" t="n">
        <v>6</v>
      </c>
      <c r="H40" s="10" t="n">
        <v>5</v>
      </c>
      <c r="I40" s="10"/>
      <c r="J40" s="10" t="n">
        <v>9</v>
      </c>
      <c r="K40" s="10" t="n">
        <v>5.5</v>
      </c>
      <c r="L40" s="10" t="n">
        <v>7</v>
      </c>
      <c r="M40" s="8"/>
    </row>
    <row r="41" customFormat="false" ht="15" hidden="false" customHeight="false" outlineLevel="0" collapsed="false">
      <c r="A41" s="7" t="n">
        <v>46269</v>
      </c>
      <c r="B41" s="8" t="s">
        <v>75</v>
      </c>
      <c r="C41" s="9" t="s">
        <v>34</v>
      </c>
      <c r="D41" s="9" t="s">
        <v>30</v>
      </c>
      <c r="E41" s="10" t="n">
        <v>2</v>
      </c>
      <c r="F41" s="10"/>
      <c r="G41" s="10" t="n">
        <v>5</v>
      </c>
      <c r="H41" s="10" t="n">
        <v>2</v>
      </c>
      <c r="I41" s="10"/>
      <c r="J41" s="10" t="n">
        <v>8</v>
      </c>
      <c r="K41" s="10" t="n">
        <v>3.5</v>
      </c>
      <c r="L41" s="10" t="n">
        <v>5</v>
      </c>
      <c r="M41" s="8"/>
    </row>
    <row r="42" customFormat="false" ht="15" hidden="false" customHeight="false" outlineLevel="0" collapsed="false">
      <c r="A42" s="11" t="n">
        <v>46270</v>
      </c>
      <c r="B42" s="12" t="s">
        <v>76</v>
      </c>
      <c r="C42" s="13" t="s">
        <v>36</v>
      </c>
      <c r="D42" s="13" t="s">
        <v>37</v>
      </c>
      <c r="E42" s="14"/>
      <c r="F42" s="14"/>
      <c r="G42" s="14"/>
      <c r="H42" s="14"/>
      <c r="I42" s="14"/>
      <c r="J42" s="14"/>
      <c r="K42" s="14"/>
      <c r="L42" s="14"/>
      <c r="M42" s="12" t="n">
        <v>9</v>
      </c>
    </row>
    <row r="43" customFormat="false" ht="15" hidden="false" customHeight="false" outlineLevel="0" collapsed="false">
      <c r="A43" s="11" t="n">
        <v>46271</v>
      </c>
      <c r="B43" s="12" t="s">
        <v>77</v>
      </c>
      <c r="C43" s="13" t="s">
        <v>39</v>
      </c>
      <c r="D43" s="13" t="s">
        <v>37</v>
      </c>
      <c r="E43" s="14"/>
      <c r="F43" s="14"/>
      <c r="G43" s="14"/>
      <c r="H43" s="14"/>
      <c r="I43" s="14"/>
      <c r="J43" s="14"/>
      <c r="K43" s="14"/>
      <c r="L43" s="14"/>
      <c r="M43" s="12" t="n">
        <v>9</v>
      </c>
    </row>
    <row r="44" customFormat="false" ht="15" hidden="false" customHeight="false" outlineLevel="0" collapsed="false">
      <c r="A44" s="7" t="n">
        <v>46272</v>
      </c>
      <c r="B44" s="8" t="s">
        <v>78</v>
      </c>
      <c r="C44" s="9" t="s">
        <v>41</v>
      </c>
      <c r="D44" s="9" t="s">
        <v>30</v>
      </c>
      <c r="E44" s="10" t="n">
        <v>1</v>
      </c>
      <c r="F44" s="10"/>
      <c r="G44" s="10" t="n">
        <v>4</v>
      </c>
      <c r="H44" s="10" t="n">
        <v>1</v>
      </c>
      <c r="I44" s="10"/>
      <c r="J44" s="10" t="n">
        <v>6</v>
      </c>
      <c r="K44" s="10" t="n">
        <v>2.5</v>
      </c>
      <c r="L44" s="10" t="n">
        <v>3.5</v>
      </c>
      <c r="M44" s="8"/>
    </row>
    <row r="45" customFormat="false" ht="15" hidden="false" customHeight="false" outlineLevel="0" collapsed="false">
      <c r="A45" s="7" t="n">
        <v>46273</v>
      </c>
      <c r="B45" s="8" t="s">
        <v>79</v>
      </c>
      <c r="C45" s="9" t="s">
        <v>43</v>
      </c>
      <c r="D45" s="9" t="s">
        <v>30</v>
      </c>
      <c r="E45" s="10" t="n">
        <v>6</v>
      </c>
      <c r="F45" s="10" t="n">
        <v>9</v>
      </c>
      <c r="G45" s="10" t="n">
        <v>7</v>
      </c>
      <c r="H45" s="10" t="n">
        <v>6</v>
      </c>
      <c r="I45" s="10" t="n">
        <v>6</v>
      </c>
      <c r="J45" s="10" t="n">
        <v>7</v>
      </c>
      <c r="K45" s="10" t="n">
        <v>7.33</v>
      </c>
      <c r="L45" s="10" t="n">
        <v>6.33</v>
      </c>
      <c r="M45" s="8"/>
    </row>
    <row r="46" customFormat="false" ht="15" hidden="false" customHeight="false" outlineLevel="0" collapsed="false">
      <c r="A46" s="7" t="n">
        <v>46274</v>
      </c>
      <c r="B46" s="8" t="s">
        <v>80</v>
      </c>
      <c r="C46" s="9" t="s">
        <v>29</v>
      </c>
      <c r="D46" s="9" t="s">
        <v>30</v>
      </c>
      <c r="E46" s="10" t="n">
        <v>6</v>
      </c>
      <c r="F46" s="10" t="n">
        <v>7</v>
      </c>
      <c r="G46" s="10" t="n">
        <v>5</v>
      </c>
      <c r="H46" s="10" t="n">
        <v>3</v>
      </c>
      <c r="I46" s="10" t="n">
        <v>5</v>
      </c>
      <c r="J46" s="10" t="n">
        <v>4</v>
      </c>
      <c r="K46" s="10" t="n">
        <v>6</v>
      </c>
      <c r="L46" s="10" t="n">
        <v>4</v>
      </c>
      <c r="M46" s="8"/>
    </row>
    <row r="47" customFormat="false" ht="15" hidden="false" customHeight="false" outlineLevel="0" collapsed="false">
      <c r="A47" s="7" t="n">
        <v>46275</v>
      </c>
      <c r="B47" s="8" t="s">
        <v>81</v>
      </c>
      <c r="C47" s="9" t="s">
        <v>32</v>
      </c>
      <c r="D47" s="9" t="s">
        <v>30</v>
      </c>
      <c r="E47" s="10" t="n">
        <v>0</v>
      </c>
      <c r="F47" s="10" t="n">
        <v>2</v>
      </c>
      <c r="G47" s="10" t="n">
        <v>4</v>
      </c>
      <c r="H47" s="10" t="n">
        <v>0</v>
      </c>
      <c r="I47" s="10" t="n">
        <v>5</v>
      </c>
      <c r="J47" s="10" t="n">
        <v>4</v>
      </c>
      <c r="K47" s="10" t="n">
        <v>2</v>
      </c>
      <c r="L47" s="10" t="n">
        <v>3</v>
      </c>
      <c r="M47" s="8"/>
    </row>
    <row r="48" customFormat="false" ht="15" hidden="false" customHeight="false" outlineLevel="0" collapsed="false">
      <c r="A48" s="7" t="n">
        <v>46276</v>
      </c>
      <c r="B48" s="8" t="s">
        <v>82</v>
      </c>
      <c r="C48" s="9" t="s">
        <v>34</v>
      </c>
      <c r="D48" s="9" t="s">
        <v>30</v>
      </c>
      <c r="E48" s="10" t="n">
        <v>0</v>
      </c>
      <c r="F48" s="10" t="n">
        <v>0</v>
      </c>
      <c r="G48" s="10" t="n">
        <v>5</v>
      </c>
      <c r="H48" s="10" t="n">
        <v>0</v>
      </c>
      <c r="I48" s="10" t="n">
        <v>1</v>
      </c>
      <c r="J48" s="10" t="n">
        <v>5</v>
      </c>
      <c r="K48" s="10" t="n">
        <v>1.67</v>
      </c>
      <c r="L48" s="10" t="n">
        <v>2</v>
      </c>
      <c r="M48" s="8"/>
    </row>
    <row r="49" customFormat="false" ht="15" hidden="false" customHeight="false" outlineLevel="0" collapsed="false">
      <c r="A49" s="11" t="n">
        <v>46277</v>
      </c>
      <c r="B49" s="12" t="s">
        <v>83</v>
      </c>
      <c r="C49" s="13" t="s">
        <v>36</v>
      </c>
      <c r="D49" s="13" t="s">
        <v>37</v>
      </c>
      <c r="E49" s="14"/>
      <c r="F49" s="14"/>
      <c r="G49" s="14"/>
      <c r="H49" s="14"/>
      <c r="I49" s="14"/>
      <c r="J49" s="14"/>
      <c r="K49" s="14"/>
      <c r="L49" s="14"/>
      <c r="M49" s="12" t="n">
        <v>9</v>
      </c>
    </row>
    <row r="50" customFormat="false" ht="15" hidden="false" customHeight="false" outlineLevel="0" collapsed="false">
      <c r="A50" s="11" t="n">
        <v>46278</v>
      </c>
      <c r="B50" s="12" t="s">
        <v>84</v>
      </c>
      <c r="C50" s="13" t="s">
        <v>39</v>
      </c>
      <c r="D50" s="13" t="s">
        <v>37</v>
      </c>
      <c r="E50" s="14"/>
      <c r="F50" s="14"/>
      <c r="G50" s="14"/>
      <c r="H50" s="14"/>
      <c r="I50" s="14"/>
      <c r="J50" s="14"/>
      <c r="K50" s="14"/>
      <c r="L50" s="14"/>
      <c r="M50" s="12" t="n">
        <v>9</v>
      </c>
    </row>
    <row r="51" customFormat="false" ht="15" hidden="false" customHeight="false" outlineLevel="0" collapsed="false">
      <c r="A51" s="7" t="n">
        <v>46279</v>
      </c>
      <c r="B51" s="8" t="s">
        <v>85</v>
      </c>
      <c r="C51" s="9" t="s">
        <v>41</v>
      </c>
      <c r="D51" s="9" t="s">
        <v>30</v>
      </c>
      <c r="E51" s="10" t="n">
        <v>7</v>
      </c>
      <c r="F51" s="10" t="n">
        <v>7</v>
      </c>
      <c r="G51" s="10" t="n">
        <v>5</v>
      </c>
      <c r="H51" s="10" t="n">
        <v>6</v>
      </c>
      <c r="I51" s="10" t="n">
        <v>8</v>
      </c>
      <c r="J51" s="10" t="n">
        <v>5</v>
      </c>
      <c r="K51" s="10" t="n">
        <v>6.33</v>
      </c>
      <c r="L51" s="10" t="n">
        <v>6.33</v>
      </c>
      <c r="M51" s="8"/>
    </row>
    <row r="52" customFormat="false" ht="15" hidden="false" customHeight="false" outlineLevel="0" collapsed="false">
      <c r="A52" s="7" t="n">
        <v>46280</v>
      </c>
      <c r="B52" s="8" t="s">
        <v>86</v>
      </c>
      <c r="C52" s="9" t="s">
        <v>43</v>
      </c>
      <c r="D52" s="9" t="s">
        <v>30</v>
      </c>
      <c r="E52" s="10" t="n">
        <v>6</v>
      </c>
      <c r="F52" s="10"/>
      <c r="G52" s="10" t="n">
        <v>6</v>
      </c>
      <c r="H52" s="10"/>
      <c r="I52" s="10"/>
      <c r="J52" s="10"/>
      <c r="K52" s="10" t="n">
        <v>6</v>
      </c>
      <c r="L52" s="10"/>
      <c r="M52" s="8"/>
    </row>
    <row r="53" customFormat="false" ht="15" hidden="false" customHeight="false" outlineLevel="0" collapsed="false">
      <c r="A53" s="7" t="n">
        <v>46281</v>
      </c>
      <c r="B53" s="8" t="s">
        <v>87</v>
      </c>
      <c r="C53" s="9" t="s">
        <v>29</v>
      </c>
      <c r="D53" s="9" t="s">
        <v>30</v>
      </c>
      <c r="E53" s="10" t="n">
        <v>0</v>
      </c>
      <c r="F53" s="10"/>
      <c r="G53" s="10" t="n">
        <v>0</v>
      </c>
      <c r="H53" s="10"/>
      <c r="I53" s="10"/>
      <c r="J53" s="10"/>
      <c r="K53" s="10" t="n">
        <v>0</v>
      </c>
      <c r="L53" s="10"/>
      <c r="M53" s="8"/>
    </row>
    <row r="54" customFormat="false" ht="15" hidden="false" customHeight="false" outlineLevel="0" collapsed="false">
      <c r="A54" s="7" t="n">
        <v>46282</v>
      </c>
      <c r="B54" s="8" t="s">
        <v>88</v>
      </c>
      <c r="C54" s="9" t="s">
        <v>32</v>
      </c>
      <c r="D54" s="9" t="s">
        <v>30</v>
      </c>
      <c r="E54" s="10" t="n">
        <v>3</v>
      </c>
      <c r="F54" s="10"/>
      <c r="G54" s="10" t="n">
        <v>4</v>
      </c>
      <c r="H54" s="10"/>
      <c r="I54" s="10"/>
      <c r="J54" s="10"/>
      <c r="K54" s="10" t="n">
        <v>3.5</v>
      </c>
      <c r="L54" s="10"/>
      <c r="M54" s="8"/>
    </row>
    <row r="55" customFormat="false" ht="15" hidden="false" customHeight="false" outlineLevel="0" collapsed="false">
      <c r="A55" s="7" t="n">
        <v>46283</v>
      </c>
      <c r="B55" s="8" t="s">
        <v>89</v>
      </c>
      <c r="C55" s="9" t="s">
        <v>34</v>
      </c>
      <c r="D55" s="9" t="s">
        <v>30</v>
      </c>
      <c r="E55" s="10" t="n">
        <v>0</v>
      </c>
      <c r="F55" s="10"/>
      <c r="G55" s="10" t="n">
        <v>7</v>
      </c>
      <c r="H55" s="10"/>
      <c r="I55" s="10"/>
      <c r="J55" s="10"/>
      <c r="K55" s="10" t="n">
        <v>3.5</v>
      </c>
      <c r="L55" s="10"/>
      <c r="M55" s="8"/>
    </row>
    <row r="56" customFormat="false" ht="15" hidden="false" customHeight="false" outlineLevel="0" collapsed="false">
      <c r="A56" s="11" t="n">
        <v>46284</v>
      </c>
      <c r="B56" s="12" t="s">
        <v>90</v>
      </c>
      <c r="C56" s="13" t="s">
        <v>36</v>
      </c>
      <c r="D56" s="13" t="s">
        <v>37</v>
      </c>
      <c r="E56" s="14"/>
      <c r="F56" s="14"/>
      <c r="G56" s="14"/>
      <c r="H56" s="14"/>
      <c r="I56" s="14"/>
      <c r="J56" s="14"/>
      <c r="K56" s="14"/>
      <c r="L56" s="14"/>
      <c r="M56" s="12" t="n">
        <v>9</v>
      </c>
    </row>
    <row r="57" customFormat="false" ht="15" hidden="false" customHeight="false" outlineLevel="0" collapsed="false">
      <c r="A57" s="11" t="n">
        <v>46285</v>
      </c>
      <c r="B57" s="12" t="s">
        <v>91</v>
      </c>
      <c r="C57" s="13" t="s">
        <v>39</v>
      </c>
      <c r="D57" s="13" t="s">
        <v>37</v>
      </c>
      <c r="E57" s="14"/>
      <c r="F57" s="14"/>
      <c r="G57" s="14"/>
      <c r="H57" s="14"/>
      <c r="I57" s="14"/>
      <c r="J57" s="14"/>
      <c r="K57" s="14"/>
      <c r="L57" s="14"/>
      <c r="M57" s="12" t="n">
        <v>9</v>
      </c>
    </row>
    <row r="58" customFormat="false" ht="15" hidden="false" customHeight="false" outlineLevel="0" collapsed="false">
      <c r="A58" s="11" t="n">
        <v>46286</v>
      </c>
      <c r="B58" s="12" t="s">
        <v>92</v>
      </c>
      <c r="C58" s="13" t="s">
        <v>41</v>
      </c>
      <c r="D58" s="13" t="s">
        <v>93</v>
      </c>
      <c r="E58" s="14"/>
      <c r="F58" s="14"/>
      <c r="G58" s="14"/>
      <c r="H58" s="14"/>
      <c r="I58" s="14"/>
      <c r="J58" s="14"/>
      <c r="K58" s="14"/>
      <c r="L58" s="14"/>
      <c r="M58" s="12" t="n">
        <v>9</v>
      </c>
    </row>
    <row r="59" customFormat="false" ht="15" hidden="false" customHeight="false" outlineLevel="0" collapsed="false">
      <c r="A59" s="11" t="n">
        <v>46287</v>
      </c>
      <c r="B59" s="12" t="s">
        <v>94</v>
      </c>
      <c r="C59" s="13" t="s">
        <v>43</v>
      </c>
      <c r="D59" s="13" t="s">
        <v>95</v>
      </c>
      <c r="E59" s="14"/>
      <c r="F59" s="14"/>
      <c r="G59" s="14"/>
      <c r="H59" s="14"/>
      <c r="I59" s="14"/>
      <c r="J59" s="14"/>
      <c r="K59" s="14"/>
      <c r="L59" s="14"/>
      <c r="M59" s="12" t="n">
        <v>9</v>
      </c>
    </row>
    <row r="60" customFormat="false" ht="15" hidden="false" customHeight="false" outlineLevel="0" collapsed="false">
      <c r="A60" s="11" t="n">
        <v>46288</v>
      </c>
      <c r="B60" s="12" t="s">
        <v>96</v>
      </c>
      <c r="C60" s="13" t="s">
        <v>29</v>
      </c>
      <c r="D60" s="13" t="s">
        <v>97</v>
      </c>
      <c r="E60" s="14"/>
      <c r="F60" s="14"/>
      <c r="G60" s="14"/>
      <c r="H60" s="14"/>
      <c r="I60" s="14"/>
      <c r="J60" s="14"/>
      <c r="K60" s="14"/>
      <c r="L60" s="14"/>
      <c r="M60" s="12" t="n">
        <v>9</v>
      </c>
    </row>
    <row r="61" customFormat="false" ht="15" hidden="false" customHeight="false" outlineLevel="0" collapsed="false">
      <c r="A61" s="7" t="n">
        <v>46289</v>
      </c>
      <c r="B61" s="8" t="s">
        <v>98</v>
      </c>
      <c r="C61" s="9" t="s">
        <v>32</v>
      </c>
      <c r="D61" s="9" t="s">
        <v>30</v>
      </c>
      <c r="E61" s="10" t="n">
        <v>7</v>
      </c>
      <c r="F61" s="10" t="n">
        <v>7</v>
      </c>
      <c r="G61" s="10" t="n">
        <v>9</v>
      </c>
      <c r="H61" s="10"/>
      <c r="I61" s="10"/>
      <c r="J61" s="10"/>
      <c r="K61" s="10" t="n">
        <v>7.67</v>
      </c>
      <c r="L61" s="10"/>
      <c r="M61" s="8"/>
    </row>
    <row r="62" customFormat="false" ht="15" hidden="false" customHeight="false" outlineLevel="0" collapsed="false">
      <c r="A62" s="7" t="n">
        <v>46290</v>
      </c>
      <c r="B62" s="8" t="s">
        <v>99</v>
      </c>
      <c r="C62" s="9" t="s">
        <v>34</v>
      </c>
      <c r="D62" s="9" t="s">
        <v>30</v>
      </c>
      <c r="E62" s="10" t="n">
        <v>8</v>
      </c>
      <c r="F62" s="10" t="n">
        <v>7</v>
      </c>
      <c r="G62" s="10" t="n">
        <v>8</v>
      </c>
      <c r="H62" s="10"/>
      <c r="I62" s="10"/>
      <c r="J62" s="10"/>
      <c r="K62" s="10" t="n">
        <v>7.67</v>
      </c>
      <c r="L62" s="10"/>
      <c r="M62" s="8"/>
    </row>
    <row r="63" customFormat="false" ht="15" hidden="false" customHeight="false" outlineLevel="0" collapsed="false">
      <c r="A63" s="11" t="n">
        <v>46291</v>
      </c>
      <c r="B63" s="12" t="s">
        <v>100</v>
      </c>
      <c r="C63" s="13" t="s">
        <v>36</v>
      </c>
      <c r="D63" s="13" t="s">
        <v>37</v>
      </c>
      <c r="E63" s="14"/>
      <c r="F63" s="14"/>
      <c r="G63" s="14"/>
      <c r="H63" s="14"/>
      <c r="I63" s="14"/>
      <c r="J63" s="14"/>
      <c r="K63" s="14"/>
      <c r="L63" s="14"/>
      <c r="M63" s="12" t="n">
        <v>9</v>
      </c>
    </row>
    <row r="64" customFormat="false" ht="15" hidden="false" customHeight="false" outlineLevel="0" collapsed="false">
      <c r="A64" s="11" t="n">
        <v>46292</v>
      </c>
      <c r="B64" s="12" t="s">
        <v>101</v>
      </c>
      <c r="C64" s="13" t="s">
        <v>39</v>
      </c>
      <c r="D64" s="13" t="s">
        <v>37</v>
      </c>
      <c r="E64" s="14"/>
      <c r="F64" s="14"/>
      <c r="G64" s="14"/>
      <c r="H64" s="14"/>
      <c r="I64" s="14"/>
      <c r="J64" s="14"/>
      <c r="K64" s="14"/>
      <c r="L64" s="14"/>
      <c r="M64" s="12" t="n">
        <v>9</v>
      </c>
    </row>
    <row r="65" customFormat="false" ht="15" hidden="false" customHeight="false" outlineLevel="0" collapsed="false">
      <c r="A65" s="7" t="n">
        <v>46293</v>
      </c>
      <c r="B65" s="8" t="s">
        <v>102</v>
      </c>
      <c r="C65" s="9" t="s">
        <v>41</v>
      </c>
      <c r="D65" s="9" t="s">
        <v>30</v>
      </c>
      <c r="E65" s="10" t="n">
        <v>3</v>
      </c>
      <c r="F65" s="10" t="n">
        <v>4</v>
      </c>
      <c r="G65" s="10" t="n">
        <v>3</v>
      </c>
      <c r="H65" s="10"/>
      <c r="I65" s="10"/>
      <c r="J65" s="10"/>
      <c r="K65" s="10" t="n">
        <v>3.33</v>
      </c>
      <c r="L65" s="10"/>
      <c r="M65" s="8"/>
    </row>
    <row r="66" customFormat="false" ht="15" hidden="false" customHeight="false" outlineLevel="0" collapsed="false">
      <c r="A66" s="7" t="n">
        <v>46294</v>
      </c>
      <c r="B66" s="8" t="s">
        <v>103</v>
      </c>
      <c r="C66" s="9" t="s">
        <v>43</v>
      </c>
      <c r="D66" s="9" t="s">
        <v>30</v>
      </c>
      <c r="E66" s="10" t="n">
        <v>1</v>
      </c>
      <c r="F66" s="10" t="n">
        <v>0</v>
      </c>
      <c r="G66" s="10" t="n">
        <v>0</v>
      </c>
      <c r="H66" s="10"/>
      <c r="I66" s="10"/>
      <c r="J66" s="10"/>
      <c r="K66" s="10" t="n">
        <v>0.33</v>
      </c>
      <c r="L66" s="10"/>
      <c r="M66" s="8"/>
    </row>
    <row r="67" customFormat="false" ht="15" hidden="false" customHeight="false" outlineLevel="0" collapsed="false">
      <c r="A67" s="7" t="n">
        <v>46295</v>
      </c>
      <c r="B67" s="8" t="s">
        <v>104</v>
      </c>
      <c r="C67" s="9" t="s">
        <v>29</v>
      </c>
      <c r="D67" s="9" t="s">
        <v>30</v>
      </c>
      <c r="E67" s="10" t="n">
        <v>0</v>
      </c>
      <c r="F67" s="10" t="n">
        <v>0</v>
      </c>
      <c r="G67" s="10" t="n">
        <v>0</v>
      </c>
      <c r="H67" s="10"/>
      <c r="I67" s="10"/>
      <c r="J67" s="10"/>
      <c r="K67" s="10" t="n">
        <v>0</v>
      </c>
      <c r="L67" s="10"/>
      <c r="M67" s="8"/>
    </row>
    <row r="68" customFormat="false" ht="15" hidden="false" customHeight="false" outlineLevel="0" collapsed="false">
      <c r="A68" s="7" t="n">
        <v>46296</v>
      </c>
      <c r="B68" s="8" t="s">
        <v>105</v>
      </c>
      <c r="C68" s="9" t="s">
        <v>32</v>
      </c>
      <c r="D68" s="9" t="s">
        <v>30</v>
      </c>
      <c r="E68" s="10" t="n">
        <v>7</v>
      </c>
      <c r="F68" s="10" t="n">
        <v>7</v>
      </c>
      <c r="G68" s="10" t="n">
        <v>7</v>
      </c>
      <c r="H68" s="10"/>
      <c r="I68" s="10"/>
      <c r="J68" s="10"/>
      <c r="K68" s="10" t="n">
        <v>7</v>
      </c>
      <c r="L68" s="10"/>
      <c r="M68" s="8"/>
    </row>
    <row r="69" customFormat="false" ht="15" hidden="false" customHeight="false" outlineLevel="0" collapsed="false">
      <c r="A69" s="7" t="n">
        <v>46297</v>
      </c>
      <c r="B69" s="8" t="s">
        <v>106</v>
      </c>
      <c r="C69" s="9" t="s">
        <v>34</v>
      </c>
      <c r="D69" s="9" t="s">
        <v>30</v>
      </c>
      <c r="E69" s="10" t="n">
        <v>0</v>
      </c>
      <c r="F69" s="10" t="n">
        <v>2</v>
      </c>
      <c r="G69" s="10" t="n">
        <v>1</v>
      </c>
      <c r="H69" s="10" t="n">
        <v>0</v>
      </c>
      <c r="I69" s="10" t="n">
        <v>1</v>
      </c>
      <c r="J69" s="10" t="n">
        <v>1</v>
      </c>
      <c r="K69" s="10" t="n">
        <v>1</v>
      </c>
      <c r="L69" s="10" t="n">
        <v>0.67</v>
      </c>
      <c r="M69" s="8"/>
    </row>
    <row r="70" customFormat="false" ht="15" hidden="false" customHeight="false" outlineLevel="0" collapsed="false">
      <c r="A70" s="11" t="n">
        <v>46298</v>
      </c>
      <c r="B70" s="12" t="s">
        <v>107</v>
      </c>
      <c r="C70" s="13" t="s">
        <v>36</v>
      </c>
      <c r="D70" s="13" t="s">
        <v>37</v>
      </c>
      <c r="E70" s="14"/>
      <c r="F70" s="14"/>
      <c r="G70" s="14"/>
      <c r="H70" s="14"/>
      <c r="I70" s="14"/>
      <c r="J70" s="14"/>
      <c r="K70" s="14"/>
      <c r="L70" s="14"/>
      <c r="M70" s="12" t="n">
        <v>9</v>
      </c>
    </row>
    <row r="71" customFormat="false" ht="15" hidden="false" customHeight="false" outlineLevel="0" collapsed="false">
      <c r="A71" s="11" t="n">
        <v>46299</v>
      </c>
      <c r="B71" s="12" t="s">
        <v>108</v>
      </c>
      <c r="C71" s="13" t="s">
        <v>39</v>
      </c>
      <c r="D71" s="13" t="s">
        <v>37</v>
      </c>
      <c r="E71" s="14"/>
      <c r="F71" s="14"/>
      <c r="G71" s="14"/>
      <c r="H71" s="14"/>
      <c r="I71" s="14"/>
      <c r="J71" s="14"/>
      <c r="K71" s="14"/>
      <c r="L71" s="14"/>
      <c r="M71" s="12" t="n">
        <v>9</v>
      </c>
    </row>
    <row r="72" customFormat="false" ht="15" hidden="false" customHeight="false" outlineLevel="0" collapsed="false">
      <c r="A72" s="7" t="n">
        <v>46300</v>
      </c>
      <c r="B72" s="8" t="s">
        <v>109</v>
      </c>
      <c r="C72" s="9" t="s">
        <v>41</v>
      </c>
      <c r="D72" s="9" t="s">
        <v>30</v>
      </c>
      <c r="E72" s="10" t="n">
        <v>0</v>
      </c>
      <c r="F72" s="10" t="n">
        <v>0</v>
      </c>
      <c r="G72" s="10" t="n">
        <v>3</v>
      </c>
      <c r="H72" s="10" t="n">
        <v>0</v>
      </c>
      <c r="I72" s="10" t="n">
        <v>0</v>
      </c>
      <c r="J72" s="10" t="n">
        <v>2</v>
      </c>
      <c r="K72" s="10" t="n">
        <v>1</v>
      </c>
      <c r="L72" s="10" t="n">
        <v>0.67</v>
      </c>
      <c r="M72" s="8"/>
    </row>
    <row r="73" customFormat="false" ht="15" hidden="false" customHeight="false" outlineLevel="0" collapsed="false">
      <c r="A73" s="7" t="n">
        <v>46301</v>
      </c>
      <c r="B73" s="8" t="s">
        <v>110</v>
      </c>
      <c r="C73" s="9" t="s">
        <v>43</v>
      </c>
      <c r="D73" s="9" t="s">
        <v>30</v>
      </c>
      <c r="E73" s="10" t="n">
        <v>1</v>
      </c>
      <c r="F73" s="10" t="n">
        <v>6</v>
      </c>
      <c r="G73" s="10" t="n">
        <v>6</v>
      </c>
      <c r="H73" s="10" t="n">
        <v>2</v>
      </c>
      <c r="I73" s="10" t="n">
        <v>6</v>
      </c>
      <c r="J73" s="10" t="n">
        <v>5</v>
      </c>
      <c r="K73" s="10" t="n">
        <v>4.33</v>
      </c>
      <c r="L73" s="10" t="n">
        <v>4.33</v>
      </c>
      <c r="M73" s="8"/>
    </row>
    <row r="74" customFormat="false" ht="15" hidden="false" customHeight="false" outlineLevel="0" collapsed="false">
      <c r="A74" s="7" t="n">
        <v>46302</v>
      </c>
      <c r="B74" s="8" t="s">
        <v>111</v>
      </c>
      <c r="C74" s="9" t="s">
        <v>29</v>
      </c>
      <c r="D74" s="9" t="s">
        <v>30</v>
      </c>
      <c r="E74" s="10" t="n">
        <v>0</v>
      </c>
      <c r="F74" s="10" t="n">
        <v>2</v>
      </c>
      <c r="G74" s="10" t="n">
        <v>3</v>
      </c>
      <c r="H74" s="10" t="n">
        <v>0</v>
      </c>
      <c r="I74" s="10" t="n">
        <v>3</v>
      </c>
      <c r="J74" s="10" t="n">
        <v>3</v>
      </c>
      <c r="K74" s="10" t="n">
        <v>1.67</v>
      </c>
      <c r="L74" s="10" t="n">
        <v>2</v>
      </c>
      <c r="M74" s="8"/>
    </row>
    <row r="75" customFormat="false" ht="15" hidden="false" customHeight="false" outlineLevel="0" collapsed="false">
      <c r="A75" s="7" t="n">
        <v>46303</v>
      </c>
      <c r="B75" s="8" t="s">
        <v>112</v>
      </c>
      <c r="C75" s="9" t="s">
        <v>32</v>
      </c>
      <c r="D75" s="9" t="s">
        <v>30</v>
      </c>
      <c r="E75" s="10" t="n">
        <v>5</v>
      </c>
      <c r="F75" s="10" t="n">
        <v>6</v>
      </c>
      <c r="G75" s="10" t="n">
        <v>2</v>
      </c>
      <c r="H75" s="10" t="n">
        <v>6</v>
      </c>
      <c r="I75" s="10" t="n">
        <v>6</v>
      </c>
      <c r="J75" s="10" t="n">
        <v>2</v>
      </c>
      <c r="K75" s="10" t="n">
        <v>4.33</v>
      </c>
      <c r="L75" s="10" t="n">
        <v>4.67</v>
      </c>
      <c r="M75" s="8"/>
    </row>
    <row r="76" customFormat="false" ht="15" hidden="false" customHeight="false" outlineLevel="0" collapsed="false">
      <c r="A76" s="7" t="n">
        <v>46304</v>
      </c>
      <c r="B76" s="8" t="s">
        <v>113</v>
      </c>
      <c r="C76" s="9" t="s">
        <v>34</v>
      </c>
      <c r="D76" s="9" t="s">
        <v>30</v>
      </c>
      <c r="E76" s="10" t="n">
        <v>6</v>
      </c>
      <c r="F76" s="10" t="n">
        <v>6</v>
      </c>
      <c r="G76" s="10" t="n">
        <v>6</v>
      </c>
      <c r="H76" s="10" t="n">
        <v>5</v>
      </c>
      <c r="I76" s="10" t="n">
        <v>6</v>
      </c>
      <c r="J76" s="10" t="n">
        <v>6</v>
      </c>
      <c r="K76" s="10" t="n">
        <v>6</v>
      </c>
      <c r="L76" s="10" t="n">
        <v>5.67</v>
      </c>
      <c r="M76" s="8"/>
    </row>
    <row r="77" customFormat="false" ht="15" hidden="false" customHeight="false" outlineLevel="0" collapsed="false">
      <c r="A77" s="11" t="n">
        <v>46305</v>
      </c>
      <c r="B77" s="12" t="s">
        <v>114</v>
      </c>
      <c r="C77" s="13" t="s">
        <v>36</v>
      </c>
      <c r="D77" s="13" t="s">
        <v>37</v>
      </c>
      <c r="E77" s="14"/>
      <c r="F77" s="14"/>
      <c r="G77" s="14"/>
      <c r="H77" s="14"/>
      <c r="I77" s="14"/>
      <c r="J77" s="14"/>
      <c r="K77" s="14"/>
      <c r="L77" s="14"/>
      <c r="M77" s="12" t="n">
        <v>9</v>
      </c>
    </row>
    <row r="78" customFormat="false" ht="15" hidden="false" customHeight="false" outlineLevel="0" collapsed="false">
      <c r="A78" s="11" t="n">
        <v>46306</v>
      </c>
      <c r="B78" s="12" t="s">
        <v>115</v>
      </c>
      <c r="C78" s="13" t="s">
        <v>39</v>
      </c>
      <c r="D78" s="13" t="s">
        <v>37</v>
      </c>
      <c r="E78" s="14"/>
      <c r="F78" s="14"/>
      <c r="G78" s="14"/>
      <c r="H78" s="14"/>
      <c r="I78" s="14"/>
      <c r="J78" s="14"/>
      <c r="K78" s="14"/>
      <c r="L78" s="14"/>
      <c r="M78" s="12" t="n">
        <v>9</v>
      </c>
    </row>
    <row r="79" customFormat="false" ht="15" hidden="false" customHeight="false" outlineLevel="0" collapsed="false">
      <c r="A79" s="11" t="n">
        <v>46307</v>
      </c>
      <c r="B79" s="12" t="s">
        <v>116</v>
      </c>
      <c r="C79" s="13" t="s">
        <v>41</v>
      </c>
      <c r="D79" s="13" t="s">
        <v>117</v>
      </c>
      <c r="E79" s="14"/>
      <c r="F79" s="14"/>
      <c r="G79" s="14"/>
      <c r="H79" s="14"/>
      <c r="I79" s="14"/>
      <c r="J79" s="14"/>
      <c r="K79" s="14"/>
      <c r="L79" s="14"/>
      <c r="M79" s="12" t="n">
        <v>9</v>
      </c>
    </row>
    <row r="80" customFormat="false" ht="15" hidden="false" customHeight="false" outlineLevel="0" collapsed="false">
      <c r="A80" s="7" t="n">
        <v>46308</v>
      </c>
      <c r="B80" s="8" t="s">
        <v>118</v>
      </c>
      <c r="C80" s="9" t="s">
        <v>43</v>
      </c>
      <c r="D80" s="9" t="s">
        <v>30</v>
      </c>
      <c r="E80" s="10"/>
      <c r="F80" s="10"/>
      <c r="G80" s="10"/>
      <c r="H80" s="10"/>
      <c r="I80" s="10"/>
      <c r="J80" s="10"/>
      <c r="K80" s="10"/>
      <c r="L80" s="10"/>
      <c r="M8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1"/>
  </cols>
  <sheetData>
    <row r="1" customFormat="false" ht="15" hidden="false" customHeight="false" outlineLevel="0" collapsed="false">
      <c r="A1" s="1" t="s">
        <v>127</v>
      </c>
    </row>
    <row r="2" customFormat="false" ht="30" hidden="false" customHeight="true" outlineLevel="0" collapsed="false">
      <c r="A2" s="5" t="s">
        <v>128</v>
      </c>
      <c r="B2" s="6" t="s">
        <v>129</v>
      </c>
      <c r="C2" s="6" t="s">
        <v>130</v>
      </c>
      <c r="D2" s="6" t="s">
        <v>131</v>
      </c>
      <c r="E2" s="6" t="s">
        <v>132</v>
      </c>
      <c r="F2" s="6" t="s">
        <v>133</v>
      </c>
      <c r="G2" s="6" t="s">
        <v>134</v>
      </c>
      <c r="H2" s="6" t="s">
        <v>135</v>
      </c>
      <c r="I2" s="6" t="s">
        <v>136</v>
      </c>
    </row>
    <row r="3" customFormat="false" ht="15" hidden="false" customHeight="false" outlineLevel="0" collapsed="false">
      <c r="A3" s="15" t="s">
        <v>137</v>
      </c>
      <c r="B3" s="16" t="s">
        <v>138</v>
      </c>
      <c r="C3" s="16" t="s">
        <v>139</v>
      </c>
      <c r="D3" s="16" t="s">
        <v>140</v>
      </c>
      <c r="E3" s="16" t="s">
        <v>141</v>
      </c>
    </row>
    <row r="4" customFormat="false" ht="15" hidden="false" customHeight="false" outlineLevel="0" collapsed="false">
      <c r="A4" s="17" t="s">
        <v>142</v>
      </c>
      <c r="B4" s="10" t="n">
        <f aca="false">IFERROR(AVERAGEIFS(日ごとの稼働時間!$N$4:$N$80,日ごとの稼働時間!$A$4:$A$80,"&gt;="&amp;DATE(2026,7,30),日ごとの稼働時間!$A$4:$A$80,"&lt;="&amp;DATE(2026,8,31),日ごとの稼働時間!$D$4:$D$80,"平日"),"データなし")</f>
        <v>8.78045454545454</v>
      </c>
      <c r="C4" s="10" t="n">
        <f aca="false">IFERROR(AVERAGEIFS(日ごとの稼働時間!$N$4:$N$80,日ごとの稼働時間!$A$4:$A$80,"&gt;="&amp;DATE(2026,9,1),日ごとの稼働時間!$A$4:$A$80,"&lt;="&amp;DATE(2026,9,15),日ごとの稼働時間!$D$4:$D$80,"平日"),"データなし")</f>
        <v>6.90909090909091</v>
      </c>
      <c r="D4" s="10" t="n">
        <f aca="false">IFERROR(AVERAGEIFS(日ごとの稼働時間!$N$4:$N$80,日ごとの稼働時間!$A$4:$A$80,"&gt;="&amp;DATE(2026,9,16),日ごとの稼働時間!$A$4:$A$80,"&lt;="&amp;DATE(2026,9,30),日ごとの稼働時間!$D$4:$D$80,"平日"),"データなし")</f>
        <v>4.16625</v>
      </c>
      <c r="E4" s="10" t="n">
        <f aca="false">IFERROR(AVERAGEIFS(日ごとの稼働時間!$N$4:$N$80,日ごとの稼働時間!$A$4:$A$80,"&gt;="&amp;DATE(2026,10,1),日ごとの稼働時間!$A$4:$A$80,"&lt;="&amp;DATE(2026,10,13),日ごとの稼働時間!$D$4:$D$80,"平日"),"データなし")</f>
        <v>4.14285714285714</v>
      </c>
      <c r="F4" s="8"/>
      <c r="G4" s="8"/>
      <c r="H4" s="8"/>
      <c r="I4" s="8"/>
    </row>
    <row r="5" customFormat="false" ht="15" hidden="false" customHeight="false" outlineLevel="0" collapsed="false">
      <c r="A5" s="17" t="s">
        <v>143</v>
      </c>
      <c r="B5" s="10" t="n">
        <f aca="false">IFERROR(AVERAGEIFS(日ごとの稼働時間!$O$4:$O$80,日ごとの稼働時間!$A$4:$A$80,"&gt;="&amp;DATE(2026,7,30),日ごとの稼働時間!$A$4:$A$80,"&lt;="&amp;DATE(2026,8,31),日ごとの稼働時間!$D$4:$D$80,"平日"),"データなし")</f>
        <v>6.96954545454546</v>
      </c>
      <c r="C5" s="10" t="n">
        <f aca="false">IFERROR(AVERAGEIFS(日ごとの稼働時間!$O$4:$O$80,日ごとの稼働時間!$A$4:$A$80,"&gt;="&amp;DATE(2026,9,1),日ごとの稼働時間!$A$4:$A$80,"&lt;="&amp;DATE(2026,9,15),日ごとの稼働時間!$D$4:$D$80,"平日"),"データなし")</f>
        <v>6.21090909090909</v>
      </c>
      <c r="D5" s="10" t="n">
        <f aca="false">IFERROR(AVERAGEIFS(日ごとの稼働時間!$O$4:$O$80,日ごとの稼働時間!$A$4:$A$80,"&gt;="&amp;DATE(2026,9,16),日ごとの稼働時間!$A$4:$A$80,"&lt;="&amp;DATE(2026,9,30),日ごとの稼働時間!$D$4:$D$80,"平日"),"データなし")</f>
        <v>5.16625</v>
      </c>
      <c r="E5" s="10" t="n">
        <f aca="false">IFERROR(AVERAGEIFS(日ごとの稼働時間!$O$4:$O$80,日ごとの稼働時間!$A$4:$A$80,"&gt;="&amp;DATE(2026,10,1),日ごとの稼働時間!$A$4:$A$80,"&lt;="&amp;DATE(2026,10,13),日ごとの稼働時間!$D$4:$D$80,"平日"),"データなし")</f>
        <v>5.28571428571429</v>
      </c>
      <c r="F5" s="8"/>
      <c r="G5" s="8"/>
      <c r="H5" s="8"/>
      <c r="I5" s="8"/>
    </row>
    <row r="6" customFormat="false" ht="15" hidden="false" customHeight="false" outlineLevel="0" collapsed="false">
      <c r="A6" s="17" t="s">
        <v>144</v>
      </c>
      <c r="B6" s="10" t="n">
        <f aca="false">IFERROR(AVERAGEIFS(日ごとの稼働時間!$P$4:$P$80,日ごとの稼働時間!$A$4:$A$80,"&gt;="&amp;DATE(2026,7,30),日ごとの稼働時間!$A$4:$A$80,"&lt;="&amp;DATE(2026,8,31),日ごとの稼働時間!$D$4:$D$80,"平日"),"データなし")</f>
        <v>7.42545454545455</v>
      </c>
      <c r="C6" s="10" t="n">
        <f aca="false">IFERROR(AVERAGEIFS(日ごとの稼働時間!$P$4:$P$80,日ごとの稼働時間!$A$4:$A$80,"&gt;="&amp;DATE(2026,9,1),日ごとの稼働時間!$A$4:$A$80,"&lt;="&amp;DATE(2026,9,15),日ごとの稼働時間!$D$4:$D$80,"平日"),"データなし")</f>
        <v>5.966</v>
      </c>
      <c r="D6" s="10" t="str">
        <f aca="false">IFERROR(AVERAGEIFS(日ごとの稼働時間!$P$4:$P$80,日ごとの稼働時間!$A$4:$A$80,"&gt;="&amp;DATE(2026,9,16),日ごとの稼働時間!$A$4:$A$80,"&lt;="&amp;DATE(2026,9,30),日ごとの稼働時間!$D$4:$D$80,"平日"),"データなし")</f>
        <v>データなし</v>
      </c>
      <c r="E6" s="10" t="n">
        <f aca="false">IFERROR(AVERAGEIFS(日ごとの稼働時間!$P$4:$P$80,日ごとの稼働時間!$A$4:$A$80,"&gt;="&amp;DATE(2026,10,1),日ごとの稼働時間!$A$4:$A$80,"&lt;="&amp;DATE(2026,10,13),日ごとの稼働時間!$D$4:$D$80,"平日"),"データなし")</f>
        <v>5.83333333333333</v>
      </c>
      <c r="F6" s="8"/>
      <c r="G6" s="8"/>
      <c r="H6" s="8"/>
      <c r="I6" s="8"/>
    </row>
    <row r="7" customFormat="false" ht="15" hidden="false" customHeight="false" outlineLevel="0" collapsed="false">
      <c r="A7" s="17" t="s">
        <v>145</v>
      </c>
      <c r="B7" s="10" t="n">
        <f aca="false">IFERROR(AVERAGEIFS(研究に使える時間!$E$4:$E$80,研究に使える時間!$A$4:$A$80,"&gt;="&amp;DATE(2026,7,30),研究に使える時間!$A$4:$A$80,"&lt;="&amp;DATE(2026,8,31),研究に使える時間!$D$4:$D$80,"平日"),"データなし")</f>
        <v>6.63636363636364</v>
      </c>
      <c r="C7" s="10" t="n">
        <f aca="false">IFERROR(AVERAGEIFS(研究に使える時間!$E$4:$E$80,研究に使える時間!$A$4:$A$80,"&gt;="&amp;DATE(2026,9,1),研究に使える時間!$A$4:$A$80,"&lt;="&amp;DATE(2026,9,15),研究に使える時間!$D$4:$D$80,"平日"),"データなし")</f>
        <v>3.90909090909091</v>
      </c>
      <c r="D7" s="10" t="n">
        <f aca="false">IFERROR(AVERAGEIFS(研究に使える時間!$E$4:$E$80,研究に使える時間!$A$4:$A$80,"&gt;="&amp;DATE(2026,9,16),研究に使える時間!$A$4:$A$80,"&lt;="&amp;DATE(2026,9,30),研究に使える時間!$D$4:$D$80,"平日"),"データなし")</f>
        <v>2.75</v>
      </c>
      <c r="E7" s="10" t="n">
        <f aca="false">IFERROR(AVERAGEIFS(研究に使える時間!$E$4:$E$80,研究に使える時間!$A$4:$A$80,"&gt;="&amp;DATE(2026,10,1),研究に使える時間!$A$4:$A$80,"&lt;="&amp;DATE(2026,10,13),研究に使える時間!$D$4:$D$80,"平日"),"データなし")</f>
        <v>2.71428571428571</v>
      </c>
      <c r="F7" s="8" t="n">
        <f aca="false">IF(COUNTIFS(研究に使える時間!$E$4:$E$80,"&gt;=0",研究に使える時間!$A$4:$A$80,"&gt;="&amp;DATE(2026,7,30),研究に使える時間!$A$4:$A$80,"&lt;="&amp;DATE(2026,8,31),研究に使える時間!$D$4:$D$80,"平日")=0,"データなし",COUNTIFS(研究に使える時間!$E$4:$E$80,"&gt;=7",研究に使える時間!$A$4:$A$80,"&gt;="&amp;DATE(2026,7,30),研究に使える時間!$A$4:$A$80,"&lt;="&amp;DATE(2026,8,31),研究に使える時間!$D$4:$D$80,"平日"))</f>
        <v>14</v>
      </c>
      <c r="G7" s="8" t="n">
        <f aca="false">IF(COUNTIFS(研究に使える時間!$E$4:$E$80,"&gt;=0",研究に使える時間!$A$4:$A$80,"&gt;="&amp;DATE(2026,9,1),研究に使える時間!$A$4:$A$80,"&lt;="&amp;DATE(2026,9,15),研究に使える時間!$D$4:$D$80,"平日")=0,"データなし",COUNTIFS(研究に使える時間!$E$4:$E$80,"&gt;=7",研究に使える時間!$A$4:$A$80,"&gt;="&amp;DATE(2026,9,1),研究に使える時間!$A$4:$A$80,"&lt;="&amp;DATE(2026,9,15),研究に使える時間!$D$4:$D$80,"平日"))</f>
        <v>1</v>
      </c>
      <c r="H7" s="8" t="n">
        <f aca="false">IF(COUNTIFS(研究に使える時間!$E$4:$E$80,"&gt;=0",研究に使える時間!$A$4:$A$80,"&gt;="&amp;DATE(2026,9,16),研究に使える時間!$A$4:$A$80,"&lt;="&amp;DATE(2026,9,30),研究に使える時間!$D$4:$D$80,"平日")=0,"データなし",COUNTIFS(研究に使える時間!$E$4:$E$80,"&gt;=7",研究に使える時間!$A$4:$A$80,"&gt;="&amp;DATE(2026,9,16),研究に使える時間!$A$4:$A$80,"&lt;="&amp;DATE(2026,9,30),研究に使える時間!$D$4:$D$80,"平日"))</f>
        <v>2</v>
      </c>
      <c r="I7" s="8" t="n">
        <f aca="false">IF(COUNTIFS(研究に使える時間!$E$4:$E$80,"&gt;=0",研究に使える時間!$A$4:$A$80,"&gt;="&amp;DATE(2026,10,1),研究に使える時間!$A$4:$A$80,"&lt;="&amp;DATE(2026,10,13),研究に使える時間!$D$4:$D$80,"平日")=0,"データなし",COUNTIFS(研究に使える時間!$E$4:$E$80,"&gt;=7",研究に使える時間!$A$4:$A$80,"&gt;="&amp;DATE(2026,10,1),研究に使える時間!$A$4:$A$80,"&lt;="&amp;DATE(2026,10,13),研究に使える時間!$D$4:$D$80,"平日"))</f>
        <v>1</v>
      </c>
    </row>
    <row r="8" customFormat="false" ht="15" hidden="false" customHeight="false" outlineLevel="0" collapsed="false">
      <c r="A8" s="17" t="s">
        <v>146</v>
      </c>
      <c r="B8" s="10" t="n">
        <f aca="false">IFERROR(AVERAGEIFS(研究に使える時間!$F$4:$F$80,研究に使える時間!$A$4:$A$80,"&gt;="&amp;DATE(2026,7,30),研究に使える時間!$A$4:$A$80,"&lt;="&amp;DATE(2026,8,31),研究に使える時間!$D$4:$D$80,"平日"),"データなし")</f>
        <v>5.9</v>
      </c>
      <c r="C8" s="10" t="n">
        <f aca="false">IFERROR(AVERAGEIFS(研究に使える時間!$F$4:$F$80,研究に使える時間!$A$4:$A$80,"&gt;="&amp;DATE(2026,9,1),研究に使える時間!$A$4:$A$80,"&lt;="&amp;DATE(2026,9,15),研究に使える時間!$D$4:$D$80,"平日"),"データなし")</f>
        <v>5</v>
      </c>
      <c r="D8" s="10" t="n">
        <f aca="false">IFERROR(AVERAGEIFS(研究に使える時間!$F$4:$F$80,研究に使える時間!$A$4:$A$80,"&gt;="&amp;DATE(2026,9,16),研究に使える時間!$A$4:$A$80,"&lt;="&amp;DATE(2026,9,30),研究に使える時間!$D$4:$D$80,"平日"),"データなし")</f>
        <v>3.6</v>
      </c>
      <c r="E8" s="10" t="n">
        <f aca="false">IFERROR(AVERAGEIFS(研究に使える時間!$F$4:$F$80,研究に使える時間!$A$4:$A$80,"&gt;="&amp;DATE(2026,10,1),研究に使える時間!$A$4:$A$80,"&lt;="&amp;DATE(2026,10,13),研究に使える時間!$D$4:$D$80,"平日"),"データなし")</f>
        <v>4.14285714285714</v>
      </c>
      <c r="F8" s="8" t="n">
        <f aca="false">IF(COUNTIFS(研究に使える時間!$F$4:$F$80,"&gt;=0",研究に使える時間!$A$4:$A$80,"&gt;="&amp;DATE(2026,7,30),研究に使える時間!$A$4:$A$80,"&lt;="&amp;DATE(2026,8,31),研究に使える時間!$D$4:$D$80,"平日")=0,"データなし",COUNTIFS(研究に使える時間!$F$4:$F$80,"&gt;=7",研究に使える時間!$A$4:$A$80,"&gt;="&amp;DATE(2026,7,30),研究に使える時間!$A$4:$A$80,"&lt;="&amp;DATE(2026,8,31),研究に使える時間!$D$4:$D$80,"平日"))</f>
        <v>7</v>
      </c>
      <c r="G8" s="8" t="n">
        <f aca="false">IF(COUNTIFS(研究に使える時間!$F$4:$F$80,"&gt;=0",研究に使える時間!$A$4:$A$80,"&gt;="&amp;DATE(2026,9,1),研究に使える時間!$A$4:$A$80,"&lt;="&amp;DATE(2026,9,15),研究に使える時間!$D$4:$D$80,"平日")=0,"データなし",COUNTIFS(研究に使える時間!$F$4:$F$80,"&gt;=7",研究に使える時間!$A$4:$A$80,"&gt;="&amp;DATE(2026,9,1),研究に使える時間!$A$4:$A$80,"&lt;="&amp;DATE(2026,9,15),研究に使える時間!$D$4:$D$80,"平日"))</f>
        <v>3</v>
      </c>
      <c r="H8" s="8" t="n">
        <f aca="false">IF(COUNTIFS(研究に使える時間!$F$4:$F$80,"&gt;=0",研究に使える時間!$A$4:$A$80,"&gt;="&amp;DATE(2026,9,16),研究に使える時間!$A$4:$A$80,"&lt;="&amp;DATE(2026,9,30),研究に使える時間!$D$4:$D$80,"平日")=0,"データなし",COUNTIFS(研究に使える時間!$F$4:$F$80,"&gt;=7",研究に使える時間!$A$4:$A$80,"&gt;="&amp;DATE(2026,9,16),研究に使える時間!$A$4:$A$80,"&lt;="&amp;DATE(2026,9,30),研究に使える時間!$D$4:$D$80,"平日"))</f>
        <v>2</v>
      </c>
      <c r="I8" s="8" t="n">
        <f aca="false">IF(COUNTIFS(研究に使える時間!$F$4:$F$80,"&gt;=0",研究に使える時間!$A$4:$A$80,"&gt;="&amp;DATE(2026,10,1),研究に使える時間!$A$4:$A$80,"&lt;="&amp;DATE(2026,10,13),研究に使える時間!$D$4:$D$80,"平日")=0,"データなし",COUNTIFS(研究に使える時間!$F$4:$F$80,"&gt;=7",研究に使える時間!$A$4:$A$80,"&gt;="&amp;DATE(2026,10,1),研究に使える時間!$A$4:$A$80,"&lt;="&amp;DATE(2026,10,13),研究に使える時間!$D$4:$D$80,"平日"))</f>
        <v>1</v>
      </c>
    </row>
    <row r="9" customFormat="false" ht="15" hidden="false" customHeight="false" outlineLevel="0" collapsed="false">
      <c r="A9" s="17" t="s">
        <v>147</v>
      </c>
      <c r="B9" s="10" t="n">
        <f aca="false">IFERROR(AVERAGEIFS(研究に使える時間!$G$4:$G$80,研究に使える時間!$A$4:$A$80,"&gt;="&amp;DATE(2026,7,30),研究に使える時間!$A$4:$A$80,"&lt;="&amp;DATE(2026,8,31),研究に使える時間!$D$4:$D$80,"平日"),"データなし")</f>
        <v>7.13636363636364</v>
      </c>
      <c r="C9" s="10" t="n">
        <f aca="false">IFERROR(AVERAGEIFS(研究に使える時間!$G$4:$G$80,研究に使える時間!$A$4:$A$80,"&gt;="&amp;DATE(2026,9,1),研究に使える時間!$A$4:$A$80,"&lt;="&amp;DATE(2026,9,15),研究に使える時間!$D$4:$D$80,"平日"),"データなし")</f>
        <v>5.54545454545455</v>
      </c>
      <c r="D9" s="10" t="n">
        <f aca="false">IFERROR(AVERAGEIFS(研究に使える時間!$G$4:$G$80,研究に使える時間!$A$4:$A$80,"&gt;="&amp;DATE(2026,9,16),研究に使える時間!$A$4:$A$80,"&lt;="&amp;DATE(2026,9,30),研究に使える時間!$D$4:$D$80,"平日"),"データなし")</f>
        <v>3.875</v>
      </c>
      <c r="E9" s="10" t="n">
        <f aca="false">IFERROR(AVERAGEIFS(研究に使える時間!$G$4:$G$80,研究に使える時間!$A$4:$A$80,"&gt;="&amp;DATE(2026,10,1),研究に使える時間!$A$4:$A$80,"&lt;="&amp;DATE(2026,10,13),研究に使える時間!$D$4:$D$80,"平日"),"データなし")</f>
        <v>4</v>
      </c>
      <c r="F9" s="8" t="n">
        <f aca="false">IF(COUNTIFS(研究に使える時間!$G$4:$G$80,"&gt;=0",研究に使える時間!$A$4:$A$80,"&gt;="&amp;DATE(2026,7,30),研究に使える時間!$A$4:$A$80,"&lt;="&amp;DATE(2026,8,31),研究に使える時間!$D$4:$D$80,"平日")=0,"データなし",COUNTIFS(研究に使える時間!$G$4:$G$80,"&gt;=7",研究に使える時間!$A$4:$A$80,"&gt;="&amp;DATE(2026,7,30),研究に使える時間!$A$4:$A$80,"&lt;="&amp;DATE(2026,8,31),研究に使える時間!$D$4:$D$80,"平日"))</f>
        <v>18</v>
      </c>
      <c r="G9" s="8" t="n">
        <f aca="false">IF(COUNTIFS(研究に使える時間!$G$4:$G$80,"&gt;=0",研究に使える時間!$A$4:$A$80,"&gt;="&amp;DATE(2026,9,1),研究に使える時間!$A$4:$A$80,"&lt;="&amp;DATE(2026,9,15),研究に使える時間!$D$4:$D$80,"平日")=0,"データなし",COUNTIFS(研究に使える時間!$G$4:$G$80,"&gt;=7",研究に使える時間!$A$4:$A$80,"&gt;="&amp;DATE(2026,9,1),研究に使える時間!$A$4:$A$80,"&lt;="&amp;DATE(2026,9,15),研究に使える時間!$D$4:$D$80,"平日"))</f>
        <v>3</v>
      </c>
      <c r="H9" s="8" t="n">
        <f aca="false">IF(COUNTIFS(研究に使える時間!$G$4:$G$80,"&gt;=0",研究に使える時間!$A$4:$A$80,"&gt;="&amp;DATE(2026,9,16),研究に使える時間!$A$4:$A$80,"&lt;="&amp;DATE(2026,9,30),研究に使える時間!$D$4:$D$80,"平日")=0,"データなし",COUNTIFS(研究に使える時間!$G$4:$G$80,"&gt;=7",研究に使える時間!$A$4:$A$80,"&gt;="&amp;DATE(2026,9,16),研究に使える時間!$A$4:$A$80,"&lt;="&amp;DATE(2026,9,30),研究に使える時間!$D$4:$D$80,"平日"))</f>
        <v>3</v>
      </c>
      <c r="I9" s="8" t="n">
        <f aca="false">IF(COUNTIFS(研究に使える時間!$G$4:$G$80,"&gt;=0",研究に使える時間!$A$4:$A$80,"&gt;="&amp;DATE(2026,10,1),研究に使える時間!$A$4:$A$80,"&lt;="&amp;DATE(2026,10,13),研究に使える時間!$D$4:$D$80,"平日")=0,"データなし",COUNTIFS(研究に使える時間!$G$4:$G$80,"&gt;=7",研究に使える時間!$A$4:$A$80,"&gt;="&amp;DATE(2026,10,1),研究に使える時間!$A$4:$A$80,"&lt;="&amp;DATE(2026,10,13),研究に使える時間!$D$4:$D$80,"平日"))</f>
        <v>1</v>
      </c>
    </row>
    <row r="10" customFormat="false" ht="23.85" hidden="false" customHeight="false" outlineLevel="0" collapsed="false">
      <c r="A10" s="17" t="s">
        <v>148</v>
      </c>
      <c r="B10" s="10" t="n">
        <f aca="false">IFERROR(AVERAGEIFS(研究に使える時間!$H$4:$H$80,研究に使える時間!$A$4:$A$80,"&gt;="&amp;DATE(2026,7,30),研究に使える時間!$A$4:$A$80,"&lt;="&amp;DATE(2026,8,31),研究に使える時間!$D$4:$D$80,"平日"),"データなし")</f>
        <v>6.63636363636364</v>
      </c>
      <c r="C10" s="10" t="n">
        <f aca="false">IFERROR(AVERAGEIFS(研究に使える時間!$H$4:$H$80,研究に使える時間!$A$4:$A$80,"&gt;="&amp;DATE(2026,9,1),研究に使える時間!$A$4:$A$80,"&lt;="&amp;DATE(2026,9,15),研究に使える時間!$D$4:$D$80,"平日"),"データなし")</f>
        <v>3.3</v>
      </c>
      <c r="D10" s="10" t="str">
        <f aca="false">IFERROR(AVERAGEIFS(研究に使える時間!$H$4:$H$80,研究に使える時間!$A$4:$A$80,"&gt;="&amp;DATE(2026,9,16),研究に使える時間!$A$4:$A$80,"&lt;="&amp;DATE(2026,9,30),研究に使える時間!$D$4:$D$80,"平日"),"データなし")</f>
        <v>データなし</v>
      </c>
      <c r="E10" s="10" t="n">
        <f aca="false">IFERROR(AVERAGEIFS(研究に使える時間!$H$4:$H$80,研究に使える時間!$A$4:$A$80,"&gt;="&amp;DATE(2026,10,1),研究に使える時間!$A$4:$A$80,"&lt;="&amp;DATE(2026,10,13),研究に使える時間!$D$4:$D$80,"平日"),"データなし")</f>
        <v>2.16666666666667</v>
      </c>
      <c r="F10" s="8" t="n">
        <f aca="false">IF(COUNTIFS(研究に使える時間!$H$4:$H$80,"&gt;=0",研究に使える時間!$A$4:$A$80,"&gt;="&amp;DATE(2026,7,30),研究に使える時間!$A$4:$A$80,"&lt;="&amp;DATE(2026,8,31),研究に使える時間!$D$4:$D$80,"平日")=0,"データなし",COUNTIFS(研究に使える時間!$H$4:$H$80,"&gt;=7",研究に使える時間!$A$4:$A$80,"&gt;="&amp;DATE(2026,7,30),研究に使える時間!$A$4:$A$80,"&lt;="&amp;DATE(2026,8,31),研究に使える時間!$D$4:$D$80,"平日"))</f>
        <v>13</v>
      </c>
      <c r="G10" s="8" t="n">
        <f aca="false">IF(COUNTIFS(研究に使える時間!$H$4:$H$80,"&gt;=0",研究に使える時間!$A$4:$A$80,"&gt;="&amp;DATE(2026,9,1),研究に使える時間!$A$4:$A$80,"&lt;="&amp;DATE(2026,9,15),研究に使える時間!$D$4:$D$80,"平日")=0,"データなし",COUNTIFS(研究に使える時間!$H$4:$H$80,"&gt;=7",研究に使える時間!$A$4:$A$80,"&gt;="&amp;DATE(2026,9,1),研究に使える時間!$A$4:$A$80,"&lt;="&amp;DATE(2026,9,15),研究に使える時間!$D$4:$D$80,"平日"))</f>
        <v>1</v>
      </c>
      <c r="H10" s="8" t="str">
        <f aca="false">IF(COUNTIFS(研究に使える時間!$H$4:$H$80,"&gt;=0",研究に使える時間!$A$4:$A$80,"&gt;="&amp;DATE(2026,9,16),研究に使える時間!$A$4:$A$80,"&lt;="&amp;DATE(2026,9,30),研究に使える時間!$D$4:$D$80,"平日")=0,"データなし",COUNTIFS(研究に使える時間!$H$4:$H$80,"&gt;=7",研究に使える時間!$A$4:$A$80,"&gt;="&amp;DATE(2026,9,16),研究に使える時間!$A$4:$A$80,"&lt;="&amp;DATE(2026,9,30),研究に使える時間!$D$4:$D$80,"平日"))</f>
        <v>データなし</v>
      </c>
      <c r="I10" s="8" t="n">
        <f aca="false">IF(COUNTIFS(研究に使える時間!$H$4:$H$80,"&gt;=0",研究に使える時間!$A$4:$A$80,"&gt;="&amp;DATE(2026,10,1),研究に使える時間!$A$4:$A$80,"&lt;="&amp;DATE(2026,10,13),研究に使える時間!$D$4:$D$80,"平日")=0,"データなし",COUNTIFS(研究に使える時間!$H$4:$H$80,"&gt;=7",研究に使える時間!$A$4:$A$80,"&gt;="&amp;DATE(2026,10,1),研究に使える時間!$A$4:$A$80,"&lt;="&amp;DATE(2026,10,13),研究に使える時間!$D$4:$D$80,"平日"))</f>
        <v>0</v>
      </c>
    </row>
    <row r="11" customFormat="false" ht="23.85" hidden="false" customHeight="false" outlineLevel="0" collapsed="false">
      <c r="A11" s="17" t="s">
        <v>149</v>
      </c>
      <c r="B11" s="10" t="n">
        <f aca="false">IFERROR(AVERAGEIFS(研究に使える時間!$I$4:$I$80,研究に使える時間!$A$4:$A$80,"&gt;="&amp;DATE(2026,7,30),研究に使える時間!$A$4:$A$80,"&lt;="&amp;DATE(2026,8,31),研究に使える時間!$D$4:$D$80,"平日"),"データなし")</f>
        <v>7.52380952380952</v>
      </c>
      <c r="C11" s="10" t="n">
        <f aca="false">IFERROR(AVERAGEIFS(研究に使える時間!$I$4:$I$80,研究に使える時間!$A$4:$A$80,"&gt;="&amp;DATE(2026,9,1),研究に使える時間!$A$4:$A$80,"&lt;="&amp;DATE(2026,9,15),研究に使える時間!$D$4:$D$80,"平日"),"データなし")</f>
        <v>5</v>
      </c>
      <c r="D11" s="10" t="str">
        <f aca="false">IFERROR(AVERAGEIFS(研究に使える時間!$I$4:$I$80,研究に使える時間!$A$4:$A$80,"&gt;="&amp;DATE(2026,9,16),研究に使える時間!$A$4:$A$80,"&lt;="&amp;DATE(2026,9,30),研究に使える時間!$D$4:$D$80,"平日"),"データなし")</f>
        <v>データなし</v>
      </c>
      <c r="E11" s="10" t="n">
        <f aca="false">IFERROR(AVERAGEIFS(研究に使える時間!$I$4:$I$80,研究に使える時間!$A$4:$A$80,"&gt;="&amp;DATE(2026,10,1),研究に使える時間!$A$4:$A$80,"&lt;="&amp;DATE(2026,10,13),研究に使える時間!$D$4:$D$80,"平日"),"データなし")</f>
        <v>3.66666666666667</v>
      </c>
      <c r="F11" s="8" t="n">
        <f aca="false">IF(COUNTIFS(研究に使える時間!$I$4:$I$80,"&gt;=0",研究に使える時間!$A$4:$A$80,"&gt;="&amp;DATE(2026,7,30),研究に使える時間!$A$4:$A$80,"&lt;="&amp;DATE(2026,8,31),研究に使える時間!$D$4:$D$80,"平日")=0,"データなし",COUNTIFS(研究に使える時間!$I$4:$I$80,"&gt;=7",研究に使える時間!$A$4:$A$80,"&gt;="&amp;DATE(2026,7,30),研究に使える時間!$A$4:$A$80,"&lt;="&amp;DATE(2026,8,31),研究に使える時間!$D$4:$D$80,"平日"))</f>
        <v>17</v>
      </c>
      <c r="G11" s="8" t="n">
        <f aca="false">IF(COUNTIFS(研究に使える時間!$I$4:$I$80,"&gt;=0",研究に使える時間!$A$4:$A$80,"&gt;="&amp;DATE(2026,9,1),研究に使える時間!$A$4:$A$80,"&lt;="&amp;DATE(2026,9,15),研究に使える時間!$D$4:$D$80,"平日")=0,"データなし",COUNTIFS(研究に使える時間!$I$4:$I$80,"&gt;=7",研究に使える時間!$A$4:$A$80,"&gt;="&amp;DATE(2026,9,1),研究に使える時間!$A$4:$A$80,"&lt;="&amp;DATE(2026,9,15),研究に使える時間!$D$4:$D$80,"平日"))</f>
        <v>1</v>
      </c>
      <c r="H11" s="8" t="str">
        <f aca="false">IF(COUNTIFS(研究に使える時間!$I$4:$I$80,"&gt;=0",研究に使える時間!$A$4:$A$80,"&gt;="&amp;DATE(2026,9,16),研究に使える時間!$A$4:$A$80,"&lt;="&amp;DATE(2026,9,30),研究に使える時間!$D$4:$D$80,"平日")=0,"データなし",COUNTIFS(研究に使える時間!$I$4:$I$80,"&gt;=7",研究に使える時間!$A$4:$A$80,"&gt;="&amp;DATE(2026,9,16),研究に使える時間!$A$4:$A$80,"&lt;="&amp;DATE(2026,9,30),研究に使える時間!$D$4:$D$80,"平日"))</f>
        <v>データなし</v>
      </c>
      <c r="I11" s="8" t="n">
        <f aca="false">IF(COUNTIFS(研究に使える時間!$I$4:$I$80,"&gt;=0",研究に使える時間!$A$4:$A$80,"&gt;="&amp;DATE(2026,10,1),研究に使える時間!$A$4:$A$80,"&lt;="&amp;DATE(2026,10,13),研究に使える時間!$D$4:$D$80,"平日")=0,"データなし",COUNTIFS(研究に使える時間!$I$4:$I$80,"&gt;=7",研究に使える時間!$A$4:$A$80,"&gt;="&amp;DATE(2026,10,1),研究に使える時間!$A$4:$A$80,"&lt;="&amp;DATE(2026,10,13),研究に使える時間!$D$4:$D$80,"平日"))</f>
        <v>0</v>
      </c>
    </row>
    <row r="12" customFormat="false" ht="23.85" hidden="false" customHeight="false" outlineLevel="0" collapsed="false">
      <c r="A12" s="17" t="s">
        <v>150</v>
      </c>
      <c r="B12" s="10" t="n">
        <f aca="false">IFERROR(AVERAGEIFS(研究に使える時間!$J$4:$J$80,研究に使える時間!$A$4:$A$80,"&gt;="&amp;DATE(2026,7,30),研究に使える時間!$A$4:$A$80,"&lt;="&amp;DATE(2026,8,31),研究に使える時間!$D$4:$D$80,"平日"),"データなし")</f>
        <v>7.68181818181818</v>
      </c>
      <c r="C12" s="10" t="n">
        <f aca="false">IFERROR(AVERAGEIFS(研究に使える時間!$J$4:$J$80,研究に使える時間!$A$4:$A$80,"&gt;="&amp;DATE(2026,9,1),研究に使える時間!$A$4:$A$80,"&lt;="&amp;DATE(2026,9,15),研究に使える時間!$D$4:$D$80,"平日"),"データなし")</f>
        <v>6.1</v>
      </c>
      <c r="D12" s="10" t="str">
        <f aca="false">IFERROR(AVERAGEIFS(研究に使える時間!$J$4:$J$80,研究に使える時間!$A$4:$A$80,"&gt;="&amp;DATE(2026,9,16),研究に使える時間!$A$4:$A$80,"&lt;="&amp;DATE(2026,9,30),研究に使える時間!$D$4:$D$80,"平日"),"データなし")</f>
        <v>データなし</v>
      </c>
      <c r="E12" s="10" t="n">
        <f aca="false">IFERROR(AVERAGEIFS(研究に使える時間!$J$4:$J$80,研究に使える時間!$A$4:$A$80,"&gt;="&amp;DATE(2026,10,1),研究に使える時間!$A$4:$A$80,"&lt;="&amp;DATE(2026,10,13),研究に使える時間!$D$4:$D$80,"平日"),"データなし")</f>
        <v>3.16666666666667</v>
      </c>
      <c r="F12" s="8" t="n">
        <f aca="false">IF(COUNTIFS(研究に使える時間!$J$4:$J$80,"&gt;=0",研究に使える時間!$A$4:$A$80,"&gt;="&amp;DATE(2026,7,30),研究に使える時間!$A$4:$A$80,"&lt;="&amp;DATE(2026,8,31),研究に使える時間!$D$4:$D$80,"平日")=0,"データなし",COUNTIFS(研究に使える時間!$J$4:$J$80,"&gt;=7",研究に使える時間!$A$4:$A$80,"&gt;="&amp;DATE(2026,7,30),研究に使える時間!$A$4:$A$80,"&lt;="&amp;DATE(2026,8,31),研究に使える時間!$D$4:$D$80,"平日"))</f>
        <v>19</v>
      </c>
      <c r="G12" s="8" t="n">
        <f aca="false">IF(COUNTIFS(研究に使える時間!$J$4:$J$80,"&gt;=0",研究に使える時間!$A$4:$A$80,"&gt;="&amp;DATE(2026,9,1),研究に使える時間!$A$4:$A$80,"&lt;="&amp;DATE(2026,9,15),研究に使える時間!$D$4:$D$80,"平日")=0,"データなし",COUNTIFS(研究に使える時間!$J$4:$J$80,"&gt;=7",研究に使える時間!$A$4:$A$80,"&gt;="&amp;DATE(2026,9,1),研究に使える時間!$A$4:$A$80,"&lt;="&amp;DATE(2026,9,15),研究に使える時間!$D$4:$D$80,"平日"))</f>
        <v>4</v>
      </c>
      <c r="H12" s="8" t="str">
        <f aca="false">IF(COUNTIFS(研究に使える時間!$J$4:$J$80,"&gt;=0",研究に使える時間!$A$4:$A$80,"&gt;="&amp;DATE(2026,9,16),研究に使える時間!$A$4:$A$80,"&lt;="&amp;DATE(2026,9,30),研究に使える時間!$D$4:$D$80,"平日")=0,"データなし",COUNTIFS(研究に使える時間!$J$4:$J$80,"&gt;=7",研究に使える時間!$A$4:$A$80,"&gt;="&amp;DATE(2026,9,16),研究に使える時間!$A$4:$A$80,"&lt;="&amp;DATE(2026,9,30),研究に使える時間!$D$4:$D$80,"平日"))</f>
        <v>データなし</v>
      </c>
      <c r="I12" s="8" t="n">
        <f aca="false">IF(COUNTIFS(研究に使える時間!$J$4:$J$80,"&gt;=0",研究に使える時間!$A$4:$A$80,"&gt;="&amp;DATE(2026,10,1),研究に使える時間!$A$4:$A$80,"&lt;="&amp;DATE(2026,10,13),研究に使える時間!$D$4:$D$80,"平日")=0,"データなし",COUNTIFS(研究に使える時間!$J$4:$J$80,"&gt;=7",研究に使える時間!$A$4:$A$80,"&gt;="&amp;DATE(2026,10,1),研究に使える時間!$A$4:$A$80,"&lt;="&amp;DATE(2026,10,13),研究に使える時間!$D$4:$D$80,"平日"))</f>
        <v>0</v>
      </c>
    </row>
    <row r="13" customFormat="false" ht="25.35" hidden="false" customHeight="false" outlineLevel="0" collapsed="false">
      <c r="A13" s="17" t="s">
        <v>151</v>
      </c>
      <c r="B13" s="10" t="n">
        <f aca="false">IFERROR(AVERAGEIFS(研究に使える時間!$K$4:$K$80,研究に使える時間!$A$4:$A$80,"&gt;="&amp;DATE(2026,7,30),研究に使える時間!$A$4:$A$80,"&lt;="&amp;DATE(2026,8,31),研究に使える時間!$D$4:$D$80,"平日"),"データなし")</f>
        <v>6.74227272727273</v>
      </c>
      <c r="C13" s="10" t="n">
        <f aca="false">IFERROR(AVERAGEIFS(研究に使える時間!$K$4:$K$80,研究に使える時間!$A$4:$A$80,"&gt;="&amp;DATE(2026,9,1),研究に使える時間!$A$4:$A$80,"&lt;="&amp;DATE(2026,9,15),研究に使える時間!$D$4:$D$80,"平日"),"データなし")</f>
        <v>4.80272727272727</v>
      </c>
      <c r="D13" s="10" t="n">
        <f aca="false">IFERROR(AVERAGEIFS(研究に使える時間!$K$4:$K$80,研究に使える時間!$A$4:$A$80,"&gt;="&amp;DATE(2026,9,16),研究に使える時間!$A$4:$A$80,"&lt;="&amp;DATE(2026,9,30),研究に使える時間!$D$4:$D$80,"平日"),"データなし")</f>
        <v>3.25</v>
      </c>
      <c r="E13" s="10" t="n">
        <f aca="false">IFERROR(AVERAGEIFS(研究に使える時間!$K$4:$K$80,研究に使える時間!$A$4:$A$80,"&gt;="&amp;DATE(2026,10,1),研究に使える時間!$A$4:$A$80,"&lt;="&amp;DATE(2026,10,13),研究に使える時間!$D$4:$D$80,"平日"),"データなし")</f>
        <v>3.61857142857143</v>
      </c>
      <c r="F13" s="8"/>
      <c r="G13" s="8"/>
      <c r="H13" s="8"/>
      <c r="I13" s="8"/>
    </row>
    <row r="14" customFormat="false" ht="25.35" hidden="false" customHeight="false" outlineLevel="0" collapsed="false">
      <c r="A14" s="17" t="s">
        <v>152</v>
      </c>
      <c r="B14" s="10" t="n">
        <f aca="false">IFERROR(AVERAGEIFS(研究に使える時間!$L$4:$L$80,研究に使える時間!$A$4:$A$80,"&gt;="&amp;DATE(2026,7,30),研究に使える時間!$A$4:$A$80,"&lt;="&amp;DATE(2026,8,31),研究に使える時間!$D$4:$D$80,"平日"),"データなし")</f>
        <v>7.23590909090909</v>
      </c>
      <c r="C14" s="10" t="n">
        <f aca="false">IFERROR(AVERAGEIFS(研究に使える時間!$L$4:$L$80,研究に使える時間!$A$4:$A$80,"&gt;="&amp;DATE(2026,9,1),研究に使える時間!$A$4:$A$80,"&lt;="&amp;DATE(2026,9,15),研究に使える時間!$D$4:$D$80,"平日"),"データなし")</f>
        <v>4.866</v>
      </c>
      <c r="D14" s="10" t="str">
        <f aca="false">IFERROR(AVERAGEIFS(研究に使える時間!$L$4:$L$80,研究に使える時間!$A$4:$A$80,"&gt;="&amp;DATE(2026,9,16),研究に使える時間!$A$4:$A$80,"&lt;="&amp;DATE(2026,9,30),研究に使える時間!$D$4:$D$80,"平日"),"データなし")</f>
        <v>データなし</v>
      </c>
      <c r="E14" s="10" t="n">
        <f aca="false">IFERROR(AVERAGEIFS(研究に使える時間!$L$4:$L$80,研究に使える時間!$A$4:$A$80,"&gt;="&amp;DATE(2026,10,1),研究に使える時間!$A$4:$A$80,"&lt;="&amp;DATE(2026,10,13),研究に使える時間!$D$4:$D$80,"平日"),"データなし")</f>
        <v>3.00166666666667</v>
      </c>
      <c r="F14" s="8"/>
      <c r="G14" s="8"/>
      <c r="H14" s="8"/>
      <c r="I1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2026-10-15T08:37:49Z</dcterms:created>
  <dc:creator>openpyxl</dc:creator>
  <dc:description/>
  <dc:language>en-US</dc:language>
  <cp:lastModifiedBy/>
  <dcterms:modified xsi:type="dcterms:W3CDTF">2026-10-15T08:37:52Z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